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\\10.10.0.6\htdocs2\systems\comite_de_demandas\Downloads\"/>
    </mc:Choice>
  </mc:AlternateContent>
  <xr:revisionPtr revIDLastSave="0" documentId="13_ncr:1_{1AFE4A74-9BB5-4F87-BA1F-B5586271FEC5}" xr6:coauthVersionLast="47" xr6:coauthVersionMax="47" xr10:uidLastSave="{00000000-0000-0000-0000-000000000000}"/>
  <bookViews>
    <workbookView xWindow="-108" yWindow="-108" windowWidth="23256" windowHeight="12456" tabRatio="705" xr2:uid="{00000000-000D-0000-FFFF-FFFF00000000}"/>
  </bookViews>
  <sheets>
    <sheet name="Ficha" sheetId="60" r:id="rId1"/>
    <sheet name="Importar" sheetId="61" state="hidden" r:id="rId2"/>
  </sheets>
  <definedNames>
    <definedName name="Áre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2" i="61" l="1"/>
  <c r="B2" i="61"/>
  <c r="AJ2" i="61"/>
  <c r="AI2" i="61"/>
  <c r="AH2" i="61"/>
  <c r="AE2" i="61"/>
  <c r="Z2" i="61"/>
  <c r="U2" i="61"/>
  <c r="L2" i="61"/>
  <c r="K2" i="61"/>
  <c r="J2" i="61"/>
  <c r="H2" i="61"/>
  <c r="D2" i="61"/>
  <c r="M2" i="6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tc={BF59F9C5-27E2-4CF4-8D8E-1C54F3BC6A7C}</author>
    <author>tc={8597C85C-E0B0-4961-B07B-ADD1C1BA6B61}</author>
    <author>tc={9815F837-4BCE-4537-9B03-B49370732341}</author>
    <author>tc={20434C90-3357-42EF-A385-32D7D13CF1C3}</author>
    <author>tc={17DC8915-FDC6-4A74-81D8-89BD81801368}</author>
    <author>tc={10A9A678-2E00-454D-AE06-A0FD494C2545}</author>
    <author>tc={BA0243B3-67A3-489F-9001-E74FD9972834}</author>
    <author>tc={7301E040-939C-434A-BEDE-BF5DB11AEFA9}</author>
    <author>tc={101CA608-44BE-4EB0-876B-D0B68D829E0A}</author>
    <author>tc={6AC847A8-ACB4-40D7-8723-D883A54CC35A}</author>
    <author>tc={390FBD59-1026-4ED7-A715-84F415CB0E8E}</author>
    <author>tc={47EF2696-4B40-4450-8812-D1EA12FC22B0}</author>
    <author>tc={023DF55B-AE92-4C0B-ACFC-5DD4F11ED603}</author>
    <author>tc={758A3765-7BED-41F0-826E-85826390D5D1}</author>
    <author>tc={D1FDF898-01B2-4AC4-9855-CA9B5EA40C1E}</author>
    <author>tc={661777CF-AEC8-4829-B81B-A85C374DA605}</author>
    <author>tc={EB119777-7B3C-48B7-A7AD-B065E8BC1577}</author>
    <author>tc={00FAA2F9-E792-45F7-96CA-45412BCDEAEA}</author>
    <author>tc={845D8DD9-1FF1-4B93-9AFE-EBB38ED65A17}</author>
    <author>tc={E3BC755F-17E5-4E76-9387-76DC03C9BD4C}</author>
    <author>tc={06E5E9F0-EC2A-40F6-BC82-F45656439D58}</author>
    <author>tc={54AEE40A-22B4-4857-A090-AE7B708D1AC6}</author>
    <author>tc={4B8F11B4-8340-41F6-9828-6C18607FFC1A}</author>
    <author>tc={AB704D54-F06A-402B-8154-73CBA2D644F0}</author>
    <author>tc={1A42EA5B-3BC5-4B41-B4DE-7440099DDCD2}</author>
    <author>tc={8B7FA507-585D-4038-B46A-48074EF516BB}</author>
    <author>tc={9B484DFB-78BA-46AE-B203-CD9BD6021991}</author>
    <author>tc={4482B0ED-6BA5-4F09-8F27-51EE863C3C14}</author>
    <author>tc={882711C5-7759-47FB-BE5B-F739FE32C4EF}</author>
    <author>tc={07849420-7196-453D-83C2-66B6C8BEFBF7}</author>
    <author>tc={4CF32B55-B99C-4AA4-92B1-F4017F3CF6C0}</author>
    <author>tc={1411162E-0FEF-47CF-B2E2-B16A68578206}</author>
    <author>tc={A20A0F4B-6218-411B-9E8F-AE209FFCAC60}</author>
    <author>tc={330F8BB0-26C1-4055-9811-E1B329447752}</author>
    <author>tc={E72CBE77-026C-4F2E-9FAB-05C98B2DE719}</author>
    <author>tc={9E53297F-5A80-4813-AE43-56DA07BDB78A}</author>
    <author>tc={60A5F8BD-C382-4DA7-A70F-A7217C1F5C64}</author>
  </authors>
  <commentList>
    <comment ref="Q4" authorId="0" shapeId="0" xr:uid="{BF59F9C5-27E2-4CF4-8D8E-1C54F3BC6A7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Será preenchido por TI (Miguel)</t>
      </text>
    </comment>
    <comment ref="AL4" authorId="1" shapeId="0" xr:uid="{8597C85C-E0B0-4961-B07B-ADD1C1BA6B6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Será gerado pela ferramenta de controle de chamado e preenchido aqui por TI (Miguel)</t>
      </text>
    </comment>
    <comment ref="B5" authorId="2" shapeId="0" xr:uid="{9815F837-4BCE-4537-9B03-B4937073234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Dê um Título/Nome para
o projeto/demanda </t>
      </text>
    </comment>
    <comment ref="BB5" authorId="3" shapeId="0" xr:uid="{20434C90-3357-42EF-A385-32D7D13CF1C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Descreva o objetivo estratégico para o grupo Barão do projeto/demanda </t>
      </text>
    </comment>
    <comment ref="DJ5" authorId="4" shapeId="0" xr:uid="{17DC8915-FDC6-4A74-81D8-89BD8180136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Escolher na lista suspensa o tipo de demanda</t>
      </text>
    </comment>
    <comment ref="EA5" authorId="5" shapeId="0" xr:uid="{10A9A678-2E00-454D-AE06-A0FD494C254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Escolher na Lista suspensa os indicadores que serão impactados com a implantação do projeto (novos indicadores poderão ser inseridos, solicitar ao Miguel)</t>
      </text>
    </comment>
    <comment ref="B13" authorId="6" shapeId="0" xr:uid="{BA0243B3-67A3-489F-9001-E74FD997283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Descreva detalhadamente a iniciativa e os resultados esperados após a implantação do mesmo.</t>
      </text>
    </comment>
    <comment ref="CA13" authorId="7" shapeId="0" xr:uid="{7301E040-939C-434A-BEDE-BF5DB11AEFA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Descrever neste campo se há dependência ou cruzamento com outras iniciativas/projetos</t>
      </text>
    </comment>
    <comment ref="EA13" authorId="8" shapeId="0" xr:uid="{101CA608-44BE-4EB0-876B-D0B68D829E0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Escolher na Lista suspensa o Ricso se o Projeto/Demanda não for implantado.</t>
      </text>
    </comment>
    <comment ref="B21" authorId="9" shapeId="0" xr:uid="{6AC847A8-ACB4-40D7-8723-D883A54CC35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Escolher a Meta de Negócio na lista suspensa. Após isso pegue a pontuação da Meta de Negócio e preencha o campo ao lado direito.</t>
      </text>
    </comment>
    <comment ref="EA21" authorId="10" shapeId="0" xr:uid="{390FBD59-1026-4ED7-A715-84F415CB0E8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Preenchido via fórmula com o numero calculado com base na Meta de Negócio</t>
      </text>
    </comment>
    <comment ref="B24" authorId="11" shapeId="0" xr:uid="{47EF2696-4B40-4450-8812-D1EA12FC22B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Colocar “X”nas áreas que serão impactadas pela Demanda/Projeto</t>
      </text>
    </comment>
    <comment ref="CA24" authorId="12" shapeId="0" xr:uid="{023DF55B-AE92-4C0B-ACFC-5DD4F11ED603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Descrever sucintamente os possíveis impactos que a iniciativa/demanda causará em outras áreas</t>
      </text>
    </comment>
    <comment ref="B35" authorId="13" shapeId="0" xr:uid="{758A3765-7BED-41F0-826E-85826390D5D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Responda as perguntas do Quadro : Cálculo de Complexidade do Projeto/Desenvolvimento (ao final desta ficha)</t>
      </text>
    </comment>
    <comment ref="BP35" authorId="14" shapeId="0" xr:uid="{D1FDF898-01B2-4AC4-9855-CA9B5EA40C1E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Respondendo as perguntas do Quadro : Cálculo de Complexidade do Projeto/Desenvolvimento (ao final desta ficha), o número do final do cálculo subirá automaticamente para este campo.</t>
      </text>
    </comment>
    <comment ref="CB35" authorId="15" shapeId="0" xr:uid="{661777CF-AEC8-4829-B81B-A85C374DA60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Responda as perguntas do Quadro : Cálculo de Priorização do Projeto/Desenvolvimento(ao final desta ficha).</t>
      </text>
    </comment>
    <comment ref="EG35" authorId="16" shapeId="0" xr:uid="{EB119777-7B3C-48B7-A7AD-B065E8BC157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Respondendo as perguntas do Quadro : Cálculo de Priorização do Projeto/Desenvolvimento (ao final desta ficha), o número do final do cálculo subirá automaticamente para este campo.</t>
      </text>
    </comment>
    <comment ref="B37" authorId="17" shapeId="0" xr:uid="{00FAA2F9-E792-45F7-96CA-45412BCDEAE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Nome e Assinatura da Pessoa que solicitou a Demanda/Projeto</t>
      </text>
    </comment>
    <comment ref="CB37" authorId="18" shapeId="0" xr:uid="{845D8DD9-1FF1-4B93-9AFE-EBB38ED65A1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Nome e Assinatura do Diretor que aprovou o Projeto</t>
      </text>
    </comment>
    <comment ref="DA37" authorId="19" shapeId="0" xr:uid="{E3BC755F-17E5-4E76-9387-76DC03C9BD4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da aprovação do Projeto/Demanda.</t>
      </text>
    </comment>
    <comment ref="DN37" authorId="20" shapeId="0" xr:uid="{06E5E9F0-EC2A-40F6-BC82-F45656439D5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quando o projeto pode ser iniciado - preenchido por TI</t>
      </text>
    </comment>
    <comment ref="EG37" authorId="21" shapeId="0" xr:uid="{54AEE40A-22B4-4857-A090-AE7B708D1AC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prevista de quando o projeto deve ser finalizado - preenchido por TI</t>
      </text>
    </comment>
    <comment ref="B42" authorId="22" shapeId="0" xr:uid="{4B8F11B4-8340-41F6-9828-6C18607FFC1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Recursos envolvidos ou necessários para o Desenvolvimento do Projeto/Demanda - Será preenchido por TI na maioria dos caso</t>
      </text>
    </comment>
    <comment ref="Y42" authorId="23" shapeId="0" xr:uid="{AB704D54-F06A-402B-8154-73CBA2D644F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Será descrito aqui a Justificativa da reprovação da Demanda/Projeto. Mas caso aprovado também poderá ser utilizado p/justificar a aprovação caso a pessoa assim deseje.</t>
      </text>
    </comment>
    <comment ref="CB42" authorId="24" shapeId="0" xr:uid="{1A42EA5B-3BC5-4B41-B4DE-7440099DDCD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Este quadro com os valores de Investimentos e Despesas por ano para o Projeto/Demanda deve ser preenchido por TI ou pela Diretor Financeiro</t>
      </text>
    </comment>
    <comment ref="CB46" authorId="25" shapeId="0" xr:uid="{8B7FA507-585D-4038-B46A-48074EF516B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Faça um breve descritivo sobre os investimentos e despesas necessários para desenvolver, implantar e manter o Projeto/Demanda.</t>
      </text>
    </comment>
    <comment ref="CB52" authorId="26" shapeId="0" xr:uid="{9B484DFB-78BA-46AE-B203-CD9BD602199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Este campo é preenchido pelo Diretor Financeiro caso tenha dados para o cálculo</t>
      </text>
    </comment>
    <comment ref="CW52" authorId="27" shapeId="0" xr:uid="{4482B0ED-6BA5-4F09-8F27-51EE863C3C1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Este campo é preenchido pelo Diretor Financeiro caso tenha dados para o cálculo</t>
      </text>
    </comment>
    <comment ref="DH52" authorId="28" shapeId="0" xr:uid="{882711C5-7759-47FB-BE5B-F739FE32C4E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Este campo é preenchido pelo Diretor Financeiro caso tenha dados para o cálculo</t>
      </text>
    </comment>
    <comment ref="DS52" authorId="29" shapeId="0" xr:uid="{07849420-7196-453D-83C2-66B6C8BEFBF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Este campo é preenchido pelo Diretor Financeiro caso tenha dados para o cálculo</t>
      </text>
    </comment>
    <comment ref="B56" authorId="30" shapeId="0" xr:uid="{4CF32B55-B99C-4AA4-92B1-F4017F3CF6C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Detalhamento das etapas do Projeto/Demanda - Preenchido por TI</t>
      </text>
    </comment>
    <comment ref="BE56" authorId="31" shapeId="0" xr:uid="{1411162E-0FEF-47CF-B2E2-B16A6857820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início da Etapa</t>
      </text>
    </comment>
    <comment ref="BP56" authorId="32" shapeId="0" xr:uid="{A20A0F4B-6218-411B-9E8F-AE209FFCAC6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fim da Etapa</t>
      </text>
    </comment>
    <comment ref="CA56" authorId="33" shapeId="0" xr:uid="{330F8BB0-26C1-4055-9811-E1B32944775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Nome do responsável pela Etapa do Projeto/Desenvolvimento</t>
      </text>
    </comment>
    <comment ref="DH56" authorId="34" shapeId="0" xr:uid="{E72CBE77-026C-4F2E-9FAB-05C98B2DE71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Quais são os recursos necessários para desenvolver a etapa</t>
      </text>
    </comment>
    <comment ref="BE65" authorId="35" shapeId="0" xr:uid="{9E53297F-5A80-4813-AE43-56DA07BDB78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Na lista supsensa,escolha as respostas para as perguntas.</t>
      </text>
    </comment>
    <comment ref="BP65" authorId="36" shapeId="0" xr:uid="{60A5F8BD-C382-4DA7-A70F-A7217C1F5C6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 acordo com as opções feitas, escolhas a Nota conf esclarecido ao lado da pergunta.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tc={ACDBF9A3-A6EE-4556-9112-A6B55E25E45A}</author>
    <author>tc={D0CEF864-1A44-40AD-A1E0-AE6D5A85F4C2}</author>
    <author>tc={A684A3B0-0A6F-446F-AEC7-CC11A81EA6EF}</author>
    <author>tc={99686298-77E8-4FCD-824D-A0B63839113C}</author>
    <author>tc={1BB2CA7C-33DA-43FB-91B8-66FB07723C29}</author>
    <author>tc={C620EABD-EFE3-4298-8C03-97CFDD9C3C8F}</author>
    <author>tc={46A42452-2347-467F-A0C6-1BC6A07B9562}</author>
    <author>tc={D49BB320-94AF-4498-8042-1F25855F06FD}</author>
    <author>tc={AA0C0C05-F46C-4C13-BEB0-611624C28722}</author>
    <author>tc={F09210A9-9403-4B2D-9695-ABF2E48BCCDC}</author>
    <author>tc={0739F0C5-9E7B-4222-BBED-5637C112986A}</author>
    <author>tc={F0FFD03E-DEF5-4C42-94D7-EE8B1FAEA25C}</author>
    <author>tc={647E8B44-99FE-4E9D-B0F4-59CA54B53A47}</author>
    <author>tc={634F3383-876B-4644-9B93-C2AE44B31F86}</author>
    <author>tc={8EAB9FC3-52C5-4DA3-9C89-171BE408FA57}</author>
    <author>tc={6FD3A144-B494-4A5D-8E06-930AB1685B93}</author>
    <author>tc={1FF5F8A6-4420-486D-AC15-EA158F9FC69A}</author>
    <author>tc={AED80D09-CD1F-4408-92DC-98B1D1A26F6A}</author>
    <author>tc={FD71ACC4-0479-45DF-B481-6ED3F88B3DB1}</author>
  </authors>
  <commentList>
    <comment ref="E1" authorId="0" shapeId="0" xr:uid="{ACDBF9A3-A6EE-4556-9112-A6B55E25E45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Status atual do Projeto/Demanda</t>
      </text>
    </comment>
    <comment ref="F1" authorId="1" shapeId="0" xr:uid="{D0CEF864-1A44-40AD-A1E0-AE6D5A85F4C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Em qual Sistema/Ferramenta/Plataforma será executado a Demanda/Projeto ?</t>
      </text>
    </comment>
    <comment ref="J1" authorId="2" shapeId="0" xr:uid="{A684A3B0-0A6F-446F-AEC7-CC11A81EA6E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Qual será o nome do Iniciativa/Projeto ?</t>
      </text>
    </comment>
    <comment ref="K1" authorId="3" shapeId="0" xr:uid="{99686298-77E8-4FCD-824D-A0B63839113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Descreve aqui a Iniciativa e os resultados e benefícios que espera ter quando o Projeto/Demanda for implementado</t>
      </text>
    </comment>
    <comment ref="L1" authorId="4" shapeId="0" xr:uid="{1BB2CA7C-33DA-43FB-91B8-66FB07723C2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Descrever sucintamente os Investimentos/Despesas necessários para execução da Demanda/Projeto</t>
      </text>
    </comment>
    <comment ref="M1" authorId="5" shapeId="0" xr:uid="{C620EABD-EFE3-4298-8C03-97CFDD9C3C8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Quantidade de horas que o desenvolvedor usará para e criar a solução solicitada - Deve ser preenchido por TI após orçamento de terceiro ou cálculo de horas de recursos internos</t>
      </text>
    </comment>
    <comment ref="AB1" authorId="6" shapeId="0" xr:uid="{46A42452-2347-467F-A0C6-1BC6A07B956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Aqui será definido o número da demanda pra efeitos de controle de Ficha</t>
      </text>
    </comment>
    <comment ref="AJ1" authorId="7" shapeId="0" xr:uid="{D49BB320-94AF-4498-8042-1F25855F06F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Metas de Negócios foram estabelecidas pela Diretoria Barão e estão na Aba “Metas Neg”. Este campo gerará os Pontos da Meta de Negócio na Coluna “M"</t>
      </text>
    </comment>
    <comment ref="AK1" authorId="8" shapeId="0" xr:uid="{AA0C0C05-F46C-4C13-BEB0-611624C28722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 1 a 10, quanto mais alto, mais prioritário para o negócio</t>
      </text>
    </comment>
    <comment ref="AL1" authorId="9" shapeId="0" xr:uid="{F09210A9-9403-4B2D-9695-ABF2E48BCCD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Esta Meta de Negócio Complementar, será utilizada como 1a.alternativa de desempate quanto os Pontos forem iguais nas Demandas levadas a Comitê.</t>
      </text>
    </comment>
    <comment ref="AM1" authorId="10" shapeId="0" xr:uid="{0739F0C5-9E7B-4222-BBED-5637C112986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Esta Meta de Negócio Complementar, será utilizada como 2a.alternativa de desempate quanto os Pontos forem iguais nas Demandas levadas a Comitê.</t>
      </text>
    </comment>
    <comment ref="AN1" authorId="11" shapeId="0" xr:uid="{F0FFD03E-DEF5-4C42-94D7-EE8B1FAEA25C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Descrever todas as áreas impactadas pela iniciativa/demanda</t>
      </text>
    </comment>
    <comment ref="AO1" authorId="12" shapeId="0" xr:uid="{647E8B44-99FE-4E9D-B0F4-59CA54B53A4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Descrever sucintamente os possíveis impactos que a iniciativa/demanda causará em outras áreas</t>
      </text>
    </comment>
    <comment ref="AP1" authorId="13" shapeId="0" xr:uid="{634F3383-876B-4644-9B93-C2AE44B31F8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Quais os recursos serão utilizados para execução da Demanda/Projeto ?</t>
      </text>
    </comment>
    <comment ref="AQ1" authorId="14" shapeId="0" xr:uid="{8EAB9FC3-52C5-4DA3-9C89-171BE408FA57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que será investido no desenvolvimento da demanda - geralmente qtd horas x vr hora</t>
      </text>
    </comment>
    <comment ref="AR1" authorId="15" shapeId="0" xr:uid="{6FD3A144-B494-4A5D-8E06-930AB1685B9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Retorno do Investimento - quando possível será calculado pelo Controller </t>
      </text>
    </comment>
    <comment ref="AS1" authorId="16" shapeId="0" xr:uid="{1FF5F8A6-4420-486D-AC15-EA158F9FC69A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Nome do membro da Diretoria que aprovou a execução/investimento </t>
      </text>
    </comment>
    <comment ref="AT1" authorId="17" shapeId="0" xr:uid="{AED80D09-CD1F-4408-92DC-98B1D1A26F6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de início do Projeto/Demanda</t>
      </text>
    </comment>
    <comment ref="AU1" authorId="18" shapeId="0" xr:uid="{FD71ACC4-0479-45DF-B481-6ED3F88B3DB1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Data/Prazo Final de Entrega do Projeto/Demanda </t>
      </text>
    </comment>
  </commentList>
</comments>
</file>

<file path=xl/sharedStrings.xml><?xml version="1.0" encoding="utf-8"?>
<sst xmlns="http://schemas.openxmlformats.org/spreadsheetml/2006/main" count="159" uniqueCount="146">
  <si>
    <t>LINK</t>
  </si>
  <si>
    <t>Nº BASE</t>
  </si>
  <si>
    <t>Demanda ou
Projeto?</t>
  </si>
  <si>
    <t>Data de Inclusão</t>
  </si>
  <si>
    <t>Situação Atual</t>
  </si>
  <si>
    <t>Sistema
Plataforma
Ferramenta</t>
  </si>
  <si>
    <t>Ordem de Execução Comitê</t>
  </si>
  <si>
    <t>Requerente</t>
  </si>
  <si>
    <t>Área</t>
  </si>
  <si>
    <t>Título da Iniciativa</t>
  </si>
  <si>
    <t>Descrição da Iniciativa e resultados esperados</t>
  </si>
  <si>
    <t>Descrição dos Investimentos e Despesas necessários</t>
  </si>
  <si>
    <t>Qtde Horas</t>
  </si>
  <si>
    <t>Qtde Hrs Max</t>
  </si>
  <si>
    <t>Qtde Hrs DTS</t>
  </si>
  <si>
    <t>Qtde Hrs BI</t>
  </si>
  <si>
    <t>Qtde Hrs TI</t>
  </si>
  <si>
    <t>Observações</t>
  </si>
  <si>
    <t>Data de Inclusão da Demanda</t>
  </si>
  <si>
    <t>Finalizado Em</t>
  </si>
  <si>
    <t>Prioridade Pontuada em Ficha</t>
  </si>
  <si>
    <t>Responsavel pela Criação de EFT ?</t>
  </si>
  <si>
    <t>Possui EFT?</t>
  </si>
  <si>
    <t>EFT Aprovada pelo Requerente?</t>
  </si>
  <si>
    <t>EFT Aprovada pelo Gerente de TI?</t>
  </si>
  <si>
    <t>Nº GLPI</t>
  </si>
  <si>
    <t>Nº LEGADO</t>
  </si>
  <si>
    <t>Origem</t>
  </si>
  <si>
    <t>Principais Etapas da Iniciativa</t>
  </si>
  <si>
    <t>Objetivos Estratégicos Impactados</t>
  </si>
  <si>
    <t>Dependência de Outras Iniciativas</t>
  </si>
  <si>
    <t>Categoria da Demanda</t>
  </si>
  <si>
    <t>Risco se Não Implantar/Realizar</t>
  </si>
  <si>
    <t>Indicadores Impactados</t>
  </si>
  <si>
    <t>Meta Negócio</t>
  </si>
  <si>
    <t>Pontos da Meta Negócio</t>
  </si>
  <si>
    <t>Meta Neg Complementar 1</t>
  </si>
  <si>
    <t>Meta Neg Complementar 2</t>
  </si>
  <si>
    <t>Áreas Impactadas pela Iniciativa</t>
  </si>
  <si>
    <t>Descrição dos Impactos em outras áreas</t>
  </si>
  <si>
    <t>Recursos Necessários</t>
  </si>
  <si>
    <t>Investimento R$</t>
  </si>
  <si>
    <t>Payback</t>
  </si>
  <si>
    <t>Aprovação Diretoria</t>
  </si>
  <si>
    <t>Início Previsto</t>
  </si>
  <si>
    <t>Fim Previsto</t>
  </si>
  <si>
    <t>Sim</t>
  </si>
  <si>
    <t>BAIXO</t>
  </si>
  <si>
    <t>Demanda</t>
  </si>
  <si>
    <t>Não</t>
  </si>
  <si>
    <t>SATISFAÇÃO DO CLIENTE</t>
  </si>
  <si>
    <t>Melhore a orientação dos serviços para o cliente.</t>
  </si>
  <si>
    <t>TI</t>
  </si>
  <si>
    <t>CONSULTORIAS</t>
  </si>
  <si>
    <t>Garantir crescimento rentável e sustentável maximizando o valor para os acionistas.</t>
  </si>
  <si>
    <t>MELHORIA OPERACIONAL</t>
  </si>
  <si>
    <t>EQUIPE EFETIVA</t>
  </si>
  <si>
    <t>DESENVOLVEDOR TERCEIRO</t>
  </si>
  <si>
    <t xml:space="preserve">DESCRIÇÃO DE DEMANDAS DE TI </t>
  </si>
  <si>
    <t xml:space="preserve"> </t>
  </si>
  <si>
    <t>Num.Ficha:</t>
  </si>
  <si>
    <t>Num.Chamado:</t>
  </si>
  <si>
    <t>TÍTULO DA INICIATIVA</t>
  </si>
  <si>
    <t>OBJETIVOS ESTRATÉGICOS IMPACTADOS</t>
  </si>
  <si>
    <t>TIPO DA DEMANDA</t>
  </si>
  <si>
    <t>INDICADORES IMPACTADOS</t>
  </si>
  <si>
    <t>DESCRIÇÃO DA INICIATIVA / RESULTADOS ESPERADOS</t>
  </si>
  <si>
    <t>DEPENDÊNCIA DE OUTRAS INCIATIVAS</t>
  </si>
  <si>
    <t>RISCO SE NÃO IMPLANTAR/FIZER</t>
  </si>
  <si>
    <t>METAS OBRIGATÓRIAS</t>
  </si>
  <si>
    <t>CLASSIFICAÇÃO OBRIGATÓRIA</t>
  </si>
  <si>
    <t>ÁREAS IMPACTADAS PELA INICIATIVA</t>
  </si>
  <si>
    <t>DESCRIÇÃO DOS IMPACTOS EM OUTRAS ÁREAS</t>
  </si>
  <si>
    <t>ADMINISTRATIVA, FINANCEIRA, CONTROL, A.CRÉD</t>
  </si>
  <si>
    <t>COMPRAS</t>
  </si>
  <si>
    <t>VENDAS, ADM VENDAS, COML</t>
  </si>
  <si>
    <t>EXPANSÃO</t>
  </si>
  <si>
    <t>SEGURANÇA E PRIVACIDADE DE DADOS</t>
  </si>
  <si>
    <t>LOGÍSTICA, EXPED.,ARMAZ, TRANSP, PRODUÇÃO,FAT</t>
  </si>
  <si>
    <t>FACILITIES</t>
  </si>
  <si>
    <t>MARKETING ,SAC, SATISF CLIENTE</t>
  </si>
  <si>
    <t>P &amp; D</t>
  </si>
  <si>
    <t>INTELIGÊNCIA DO NEGÓCIO</t>
  </si>
  <si>
    <t>SUPRIMENTOS</t>
  </si>
  <si>
    <t>RECURSOS HUMANOS</t>
  </si>
  <si>
    <t>ECOMMERCE B2B B2C</t>
  </si>
  <si>
    <t>RESULTADO DO CÁLCULO DE COMPLEXIDADE DO PROJETO</t>
  </si>
  <si>
    <t>RESULTADO DO CÁLCULO DE PRIORIZAÇÃO DO PROJETO</t>
  </si>
  <si>
    <t>RESPONSÁVEL</t>
  </si>
  <si>
    <t>APROVAÇÃO</t>
  </si>
  <si>
    <t>DATA</t>
  </si>
  <si>
    <t>INÍCIO PREVISTO</t>
  </si>
  <si>
    <t>FIM PREVISTO</t>
  </si>
  <si>
    <t>RECURSOS NECESSÁRIOS</t>
  </si>
  <si>
    <t xml:space="preserve">JUSTIFICATIVA  </t>
  </si>
  <si>
    <t>(SE HOUVER)</t>
  </si>
  <si>
    <t>INVESTIMENTO (R$)</t>
  </si>
  <si>
    <t>DESPESA (R$)</t>
  </si>
  <si>
    <t xml:space="preserve">TERCEIROS </t>
  </si>
  <si>
    <t>DESCRIÇÃO DOS INVESTIMENTOS E DESPESAS NECESSÁRIOS</t>
  </si>
  <si>
    <t>INFRAESTRUTURA</t>
  </si>
  <si>
    <t>EQUIPAMENTOS DE TI</t>
  </si>
  <si>
    <t>SISTEMAS INFORMATIZADOS</t>
  </si>
  <si>
    <t>PROGRAMADOR TERCEIRO</t>
  </si>
  <si>
    <t>DBA</t>
  </si>
  <si>
    <t>PAYBACK ANO (SE HOUVER)</t>
  </si>
  <si>
    <t>VPL (R$)</t>
  </si>
  <si>
    <t>TIR / TIRM (%)</t>
  </si>
  <si>
    <t>PRAZO PARA CAPTURA DOS BENEFÍCIOS</t>
  </si>
  <si>
    <t>OUTROS -------------------------------</t>
  </si>
  <si>
    <t>PRINCIPAIS ETAPAS DA INICIATIVA</t>
  </si>
  <si>
    <t>INÍCIO</t>
  </si>
  <si>
    <t>FIM</t>
  </si>
  <si>
    <t>Cálculo de Complexidade do Projeto/Desenvolvimento</t>
  </si>
  <si>
    <t>Opção</t>
  </si>
  <si>
    <t>Notas</t>
  </si>
  <si>
    <t>Result Complex.</t>
  </si>
  <si>
    <r>
      <t>A</t>
    </r>
    <r>
      <rPr>
        <b/>
        <u/>
        <sz val="6"/>
        <color rgb="FF000000"/>
        <rFont val="Verdana"/>
        <family val="2"/>
      </rPr>
      <t xml:space="preserve"> Complexidade</t>
    </r>
    <r>
      <rPr>
        <sz val="6"/>
        <color rgb="FF000000"/>
        <rFont val="Verdana"/>
        <family val="2"/>
      </rPr>
      <t xml:space="preserve"> de cada Projeto é obtida pelo  somatório dos resultados da multiplicação de cada peso por cada nota aplicada (min 20 , Max 46 Pontos)</t>
    </r>
  </si>
  <si>
    <t>Qtd Fornec.Externos (peso 2)  - Se : Mais de 1 &gt; Nota 3; Apenas 1 &gt; Nota 2; Nenhum &gt; Nota 1</t>
  </si>
  <si>
    <t>Nenhum</t>
  </si>
  <si>
    <t>Existência de Flexibilidade na Data de Entrega -  (Peso: 2) - Se : Sim (Nota: 1)
Não (Nota: 2)</t>
  </si>
  <si>
    <t>Quantidade de Horas de Trabalho -  :  (Peso: 3) Se : Acima de 100h (Nota: 3);Entre 51h e 100h (Nota: 2);Até 50h (Nota: 1)</t>
  </si>
  <si>
    <t>Até 50h</t>
  </si>
  <si>
    <t>É um processo novo na organização ? (Peso: 2) - Se: Sim (Nota: 1); Não (Nota: 2)</t>
  </si>
  <si>
    <t>Haverá tempo para testes ? (Peso: 1)  - Se: Sim (Nota: 1);Não (Nota: 2)</t>
  </si>
  <si>
    <t>Total de Pontos de Complexidade</t>
  </si>
  <si>
    <t>Cálculo de Priorização do Projeto/Desenvolvimento</t>
  </si>
  <si>
    <t>Result Prioriz.</t>
  </si>
  <si>
    <r>
      <t xml:space="preserve">A </t>
    </r>
    <r>
      <rPr>
        <b/>
        <u/>
        <sz val="6"/>
        <color rgb="FF000000"/>
        <rFont val="Verdana"/>
        <family val="2"/>
      </rPr>
      <t>Priorização</t>
    </r>
    <r>
      <rPr>
        <sz val="6"/>
        <color rgb="FF000000"/>
        <rFont val="Verdana"/>
        <family val="2"/>
      </rPr>
      <t xml:space="preserve"> de cada Projeto é obtida pelo somatório dos resultados da multiplicação de cada peso por cada nota aplicada (min 43 , Max 248 Pontos)</t>
    </r>
  </si>
  <si>
    <t>Regulatório (Peso 2): Tudo que é diretam.relacion. à Regulação &gt; Se: Regulatório (Nota: 50);Institucional (Nota: 25);Melhoria Operacional (Nota: 5)</t>
  </si>
  <si>
    <t>Melhoria Operacional</t>
  </si>
  <si>
    <t>Obrigatoriedade (Peso: 10) &gt; Se : Sim (Obrigatório) (Nota: 1)Não (Não Obrigatório) (Nota: 0)</t>
  </si>
  <si>
    <t>Risco da Não Realização para o Negócio (Peso: 6) &gt; Se : Alto (Nota: 5)Médio (Nota: 3)Baixo (Nota: 1)</t>
  </si>
  <si>
    <t>Baixo</t>
  </si>
  <si>
    <t>Alinhamento com o Planejamento Estratégico (Peso: 5) &gt; Se : Alinhamento Direto (Nota: 5)Alinhamento Indireto (Nota: 3)Não Alinhado (Nota: 0)</t>
  </si>
  <si>
    <t>Não alinhado</t>
  </si>
  <si>
    <t xml:space="preserve">Retorno do Investimento  (Peso: 4) &gt; Se : TIR 20% (Nota: 1)TIR acima de 20% (Nota: 3) </t>
  </si>
  <si>
    <t>TIR até 20%</t>
  </si>
  <si>
    <t>Urgência para Implantação (Peso: 3) &gt; Se : Muito Urgente (Nota: 5)Urgente (Nota: 3)Baixa Urgência (Nota: 1)</t>
  </si>
  <si>
    <t>Baixa Urgência</t>
  </si>
  <si>
    <t>Nível de Complexidade &gt; Utilizar o valor calculado anteriormente.</t>
  </si>
  <si>
    <t>Total de Pontos de Priorização</t>
  </si>
  <si>
    <t>01 - A Priorizar</t>
  </si>
  <si>
    <t>Gabriel Cosac - Logística</t>
  </si>
  <si>
    <t>MT</t>
  </si>
  <si>
    <t>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</si>
</sst>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[$-416]General"/>
    <numFmt numFmtId="165" formatCode="&quot;R$&quot;\ #,##0.00"/>
    <numFmt numFmtId="166" formatCode="000000"/>
  </numFmts>
  <fonts count="2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002060"/>
      <name val="Arial"/>
      <family val="2"/>
    </font>
    <font>
      <b/>
      <sz val="12"/>
      <name val="Arial"/>
      <family val="2"/>
    </font>
    <font>
      <b/>
      <sz val="12"/>
      <color rgb="FFFFFFFF"/>
      <name val="Arial"/>
      <family val="2"/>
    </font>
    <font>
      <sz val="11"/>
      <color theme="1"/>
      <name val="Calibri"/>
      <family val="2"/>
    </font>
    <font>
      <b/>
      <sz val="12"/>
      <color theme="0"/>
      <name val="Arial"/>
      <family val="2"/>
    </font>
    <font>
      <b/>
      <sz val="16"/>
      <name val="Arial"/>
      <family val="2"/>
    </font>
    <font>
      <sz val="11"/>
      <color theme="0"/>
      <name val="Calibri"/>
      <family val="2"/>
    </font>
    <font>
      <sz val="10"/>
      <color rgb="FFFFFFFF"/>
      <name val="Arial"/>
      <family val="2"/>
    </font>
    <font>
      <b/>
      <u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6"/>
      <color rgb="FF000000"/>
      <name val="Verdana"/>
      <family val="2"/>
    </font>
    <font>
      <b/>
      <u/>
      <sz val="6"/>
      <color rgb="FF000000"/>
      <name val="Verdana"/>
      <family val="2"/>
    </font>
    <font>
      <sz val="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FF0000"/>
      <name val="Arial"/>
      <family val="2"/>
    </font>
    <font>
      <u/>
      <sz val="12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790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rgb="FF000000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/>
      <right/>
      <top style="thin">
        <color rgb="FF969696"/>
      </top>
      <bottom/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/>
      <bottom/>
      <diagonal/>
    </border>
    <border>
      <left/>
      <right style="thin">
        <color rgb="FF969696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969696"/>
      </right>
      <top style="thin">
        <color indexed="64"/>
      </top>
      <bottom style="thin">
        <color indexed="64"/>
      </bottom>
      <diagonal/>
    </border>
    <border>
      <left style="thin">
        <color rgb="FF969696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969696"/>
      </right>
      <top style="thin">
        <color indexed="64"/>
      </top>
      <bottom/>
      <diagonal/>
    </border>
    <border>
      <left style="thin">
        <color rgb="FF969696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969696"/>
      </right>
      <top/>
      <bottom style="thin">
        <color indexed="64"/>
      </bottom>
      <diagonal/>
    </border>
    <border>
      <left style="thin">
        <color rgb="FF969696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969696"/>
      </right>
      <top style="thin">
        <color indexed="64"/>
      </top>
      <bottom style="thin">
        <color indexed="64"/>
      </bottom>
      <diagonal/>
    </border>
    <border>
      <left style="thin">
        <color rgb="FF969696"/>
      </left>
      <right style="thin">
        <color rgb="FF969696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969696"/>
      </right>
      <top style="thin">
        <color indexed="64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indexed="64"/>
      </top>
      <bottom style="thin">
        <color rgb="FF969696"/>
      </bottom>
      <diagonal/>
    </border>
    <border>
      <left style="thin">
        <color rgb="FF969696"/>
      </left>
      <right style="thin">
        <color indexed="64"/>
      </right>
      <top style="thin">
        <color indexed="64"/>
      </top>
      <bottom style="thin">
        <color rgb="FF969696"/>
      </bottom>
      <diagonal/>
    </border>
    <border>
      <left style="thin">
        <color indexed="64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 style="thin">
        <color indexed="64"/>
      </right>
      <top style="thin">
        <color rgb="FF969696"/>
      </top>
      <bottom style="thin">
        <color rgb="FF969696"/>
      </bottom>
      <diagonal/>
    </border>
    <border>
      <left style="thin">
        <color indexed="64"/>
      </left>
      <right style="thin">
        <color rgb="FF969696"/>
      </right>
      <top style="thin">
        <color rgb="FF969696"/>
      </top>
      <bottom style="thin">
        <color indexed="64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indexed="64"/>
      </bottom>
      <diagonal/>
    </border>
    <border>
      <left style="thin">
        <color rgb="FF969696"/>
      </left>
      <right style="thin">
        <color indexed="64"/>
      </right>
      <top style="thin">
        <color rgb="FF969696"/>
      </top>
      <bottom style="thin">
        <color indexed="64"/>
      </bottom>
      <diagonal/>
    </border>
    <border>
      <left style="thin">
        <color rgb="FF969696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/>
      <top style="thin">
        <color rgb="FF969696"/>
      </top>
      <bottom style="thin">
        <color rgb="FF969696"/>
      </bottom>
      <diagonal/>
    </border>
    <border>
      <left style="thin">
        <color indexed="64"/>
      </left>
      <right style="thin">
        <color rgb="FF969696"/>
      </right>
      <top/>
      <bottom/>
      <diagonal/>
    </border>
    <border>
      <left style="thin">
        <color indexed="64"/>
      </left>
      <right style="thin">
        <color rgb="FF969696"/>
      </right>
      <top style="thin">
        <color indexed="64"/>
      </top>
      <bottom/>
      <diagonal/>
    </border>
    <border>
      <left style="thin">
        <color rgb="FF969696"/>
      </left>
      <right style="thin">
        <color rgb="FF969696"/>
      </right>
      <top style="thin">
        <color indexed="64"/>
      </top>
      <bottom/>
      <diagonal/>
    </border>
    <border>
      <left style="thin">
        <color rgb="FF969696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969696"/>
      </right>
      <top/>
      <bottom style="thin">
        <color indexed="64"/>
      </bottom>
      <diagonal/>
    </border>
    <border>
      <left style="thin">
        <color rgb="FF969696"/>
      </left>
      <right style="thin">
        <color rgb="FF969696"/>
      </right>
      <top/>
      <bottom style="thin">
        <color indexed="64"/>
      </bottom>
      <diagonal/>
    </border>
    <border>
      <left style="thin">
        <color rgb="FF969696"/>
      </left>
      <right style="thin">
        <color indexed="64"/>
      </right>
      <top/>
      <bottom style="thin">
        <color indexed="64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/>
      <top/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</borders>
  <cellStyleXfs count="6">
    <xf numFmtId="0" fontId="0" fillId="0" borderId="0"/>
    <xf numFmtId="164" fontId="2" fillId="0" borderId="0"/>
    <xf numFmtId="0" fontId="3" fillId="0" borderId="0"/>
    <xf numFmtId="43" fontId="5" fillId="0" borderId="0" applyFont="0" applyFill="0" applyBorder="0" applyAlignment="0" applyProtection="0"/>
    <xf numFmtId="0" fontId="26" fillId="0" borderId="0" applyNumberFormat="0" applyFill="0" applyBorder="0" applyAlignment="0" applyProtection="0"/>
    <xf numFmtId="43" fontId="5" fillId="0" borderId="0" applyFont="0" applyFill="0" applyBorder="0" applyAlignment="0" applyProtection="0"/>
  </cellStyleXfs>
  <cellXfs count="274">
    <xf numFmtId="0" fontId="0" fillId="0" borderId="0" xfId="0"/>
    <xf numFmtId="0" fontId="1" fillId="0" borderId="0" xfId="2" applyFont="1"/>
    <xf numFmtId="0" fontId="0" fillId="2" borderId="0" xfId="0" applyFill="1"/>
    <xf numFmtId="0" fontId="3" fillId="0" borderId="1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" fontId="4" fillId="0" borderId="1" xfId="0" applyNumberFormat="1" applyFont="1" applyBorder="1" applyAlignment="1" applyProtection="1">
      <alignment horizontal="center" vertical="center" wrapText="1"/>
      <protection locked="0"/>
    </xf>
    <xf numFmtId="14" fontId="3" fillId="0" borderId="1" xfId="0" applyNumberFormat="1" applyFont="1" applyBorder="1" applyAlignment="1" applyProtection="1">
      <alignment horizontal="center" vertical="center" wrapText="1"/>
      <protection locked="0"/>
    </xf>
    <xf numFmtId="0" fontId="25" fillId="5" borderId="1" xfId="0" applyFont="1" applyFill="1" applyBorder="1" applyAlignment="1" applyProtection="1">
      <alignment horizontal="center" vertical="center" wrapText="1"/>
      <protection locked="0"/>
    </xf>
    <xf numFmtId="0" fontId="25" fillId="4" borderId="1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0" fillId="10" borderId="0" xfId="0" applyFill="1"/>
    <xf numFmtId="0" fontId="18" fillId="0" borderId="0" xfId="0" applyFont="1"/>
    <xf numFmtId="1" fontId="18" fillId="0" borderId="0" xfId="0" applyNumberFormat="1" applyFont="1"/>
    <xf numFmtId="1" fontId="18" fillId="11" borderId="0" xfId="0" applyNumberFormat="1" applyFont="1" applyFill="1"/>
    <xf numFmtId="0" fontId="0" fillId="11" borderId="0" xfId="0" applyFill="1"/>
    <xf numFmtId="1" fontId="0" fillId="11" borderId="0" xfId="0" applyNumberFormat="1" applyFill="1"/>
    <xf numFmtId="14" fontId="25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1" fillId="8" borderId="11" xfId="2" applyFont="1" applyFill="1" applyBorder="1" applyAlignment="1">
      <alignment horizontal="left"/>
    </xf>
    <xf numFmtId="0" fontId="1" fillId="8" borderId="0" xfId="2" applyFont="1" applyFill="1" applyAlignment="1">
      <alignment horizontal="left"/>
    </xf>
    <xf numFmtId="0" fontId="1" fillId="8" borderId="7" xfId="2" applyFont="1" applyFill="1" applyBorder="1" applyAlignment="1">
      <alignment horizontal="left"/>
    </xf>
    <xf numFmtId="0" fontId="1" fillId="0" borderId="4" xfId="2" applyFont="1" applyBorder="1" applyProtection="1">
      <protection locked="0"/>
    </xf>
    <xf numFmtId="0" fontId="1" fillId="0" borderId="5" xfId="2" applyFont="1" applyBorder="1" applyProtection="1">
      <protection locked="0"/>
    </xf>
    <xf numFmtId="0" fontId="1" fillId="0" borderId="6" xfId="2" applyFont="1" applyBorder="1" applyProtection="1">
      <protection locked="0"/>
    </xf>
    <xf numFmtId="0" fontId="1" fillId="0" borderId="19" xfId="2" applyFont="1" applyBorder="1" applyAlignment="1" applyProtection="1">
      <alignment vertical="center"/>
      <protection locked="0"/>
    </xf>
    <xf numFmtId="0" fontId="1" fillId="0" borderId="20" xfId="2" applyFont="1" applyBorder="1" applyProtection="1">
      <protection locked="0"/>
    </xf>
    <xf numFmtId="0" fontId="1" fillId="0" borderId="13" xfId="2" applyFont="1" applyBorder="1" applyProtection="1">
      <protection locked="0"/>
    </xf>
    <xf numFmtId="0" fontId="1" fillId="0" borderId="21" xfId="2" applyFont="1" applyBorder="1" applyProtection="1">
      <protection locked="0"/>
    </xf>
    <xf numFmtId="0" fontId="1" fillId="0" borderId="9" xfId="2" applyFont="1" applyBorder="1"/>
    <xf numFmtId="0" fontId="10" fillId="0" borderId="0" xfId="2" applyFont="1" applyAlignment="1">
      <alignment horizontal="center" vertical="center"/>
    </xf>
    <xf numFmtId="0" fontId="1" fillId="0" borderId="8" xfId="2" applyFont="1" applyBorder="1"/>
    <xf numFmtId="0" fontId="1" fillId="0" borderId="10" xfId="2" applyFont="1" applyBorder="1"/>
    <xf numFmtId="0" fontId="1" fillId="0" borderId="11" xfId="2" applyFont="1" applyBorder="1"/>
    <xf numFmtId="0" fontId="1" fillId="0" borderId="12" xfId="2" applyFont="1" applyBorder="1"/>
    <xf numFmtId="0" fontId="1" fillId="0" borderId="0" xfId="2" applyFont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11" xfId="2" applyFont="1" applyBorder="1" applyAlignment="1">
      <alignment vertical="center"/>
    </xf>
    <xf numFmtId="0" fontId="1" fillId="0" borderId="12" xfId="2" applyFont="1" applyBorder="1" applyAlignment="1">
      <alignment vertical="center"/>
    </xf>
    <xf numFmtId="0" fontId="1" fillId="0" borderId="0" xfId="2" applyFont="1" applyAlignment="1">
      <alignment horizontal="center" vertical="center" wrapText="1"/>
    </xf>
    <xf numFmtId="0" fontId="1" fillId="0" borderId="9" xfId="2" applyFont="1" applyBorder="1" applyAlignment="1">
      <alignment horizontal="center"/>
    </xf>
    <xf numFmtId="0" fontId="3" fillId="0" borderId="9" xfId="2" applyBorder="1"/>
    <xf numFmtId="1" fontId="1" fillId="0" borderId="9" xfId="2" applyNumberFormat="1" applyFont="1" applyBorder="1" applyAlignment="1">
      <alignment horizontal="center"/>
    </xf>
    <xf numFmtId="0" fontId="1" fillId="0" borderId="0" xfId="2" applyFont="1" applyAlignment="1">
      <alignment horizontal="left"/>
    </xf>
    <xf numFmtId="0" fontId="1" fillId="0" borderId="0" xfId="2" applyFont="1" applyAlignment="1">
      <alignment horizontal="center"/>
    </xf>
    <xf numFmtId="0" fontId="3" fillId="0" borderId="0" xfId="2"/>
    <xf numFmtId="1" fontId="1" fillId="0" borderId="0" xfId="2" applyNumberFormat="1" applyFont="1" applyAlignment="1">
      <alignment horizontal="center"/>
    </xf>
    <xf numFmtId="0" fontId="1" fillId="0" borderId="0" xfId="2" applyFont="1" applyAlignment="1">
      <alignment horizontal="left" vertical="center"/>
    </xf>
    <xf numFmtId="0" fontId="1" fillId="0" borderId="46" xfId="2" applyFont="1" applyBorder="1"/>
    <xf numFmtId="0" fontId="1" fillId="0" borderId="47" xfId="2" applyFont="1" applyBorder="1"/>
    <xf numFmtId="0" fontId="1" fillId="0" borderId="48" xfId="2" applyFont="1" applyBorder="1"/>
    <xf numFmtId="166" fontId="10" fillId="0" borderId="13" xfId="2" applyNumberFormat="1" applyFont="1" applyBorder="1" applyAlignment="1" applyProtection="1">
      <alignment vertical="center"/>
      <protection locked="0"/>
    </xf>
    <xf numFmtId="0" fontId="1" fillId="8" borderId="4" xfId="2" applyFont="1" applyFill="1" applyBorder="1" applyAlignment="1">
      <alignment horizontal="left"/>
    </xf>
    <xf numFmtId="0" fontId="1" fillId="8" borderId="5" xfId="2" applyFont="1" applyFill="1" applyBorder="1" applyAlignment="1">
      <alignment horizontal="left"/>
    </xf>
    <xf numFmtId="0" fontId="1" fillId="8" borderId="6" xfId="2" applyFont="1" applyFill="1" applyBorder="1" applyAlignment="1">
      <alignment horizontal="left"/>
    </xf>
    <xf numFmtId="0" fontId="1" fillId="8" borderId="19" xfId="2" applyFont="1" applyFill="1" applyBorder="1" applyAlignment="1">
      <alignment horizontal="left"/>
    </xf>
    <xf numFmtId="0" fontId="1" fillId="8" borderId="39" xfId="2" applyFont="1" applyFill="1" applyBorder="1" applyAlignment="1">
      <alignment horizontal="left"/>
    </xf>
    <xf numFmtId="0" fontId="1" fillId="8" borderId="20" xfId="2" applyFont="1" applyFill="1" applyBorder="1" applyAlignment="1">
      <alignment horizontal="left"/>
    </xf>
    <xf numFmtId="0" fontId="1" fillId="8" borderId="13" xfId="2" applyFont="1" applyFill="1" applyBorder="1" applyAlignment="1">
      <alignment horizontal="left"/>
    </xf>
    <xf numFmtId="0" fontId="1" fillId="8" borderId="21" xfId="2" applyFont="1" applyFill="1" applyBorder="1" applyAlignment="1">
      <alignment horizontal="left"/>
    </xf>
    <xf numFmtId="0" fontId="4" fillId="0" borderId="1" xfId="0" quotePrefix="1" applyFont="1" applyBorder="1" applyAlignment="1" applyProtection="1">
      <alignment horizontal="center" vertical="center" wrapText="1"/>
      <protection locked="0"/>
    </xf>
    <xf numFmtId="0" fontId="9" fillId="0" borderId="0" xfId="2" applyFont="1" applyAlignment="1">
      <alignment horizontal="center" vertical="center"/>
    </xf>
    <xf numFmtId="0" fontId="11" fillId="7" borderId="3" xfId="2" applyFont="1" applyFill="1" applyBorder="1" applyAlignment="1">
      <alignment horizontal="center"/>
    </xf>
    <xf numFmtId="0" fontId="11" fillId="7" borderId="14" xfId="2" applyFont="1" applyFill="1" applyBorder="1" applyAlignment="1">
      <alignment horizontal="center"/>
    </xf>
    <xf numFmtId="0" fontId="11" fillId="7" borderId="15" xfId="2" applyFont="1" applyFill="1" applyBorder="1" applyAlignment="1">
      <alignment horizontal="center"/>
    </xf>
    <xf numFmtId="0" fontId="11" fillId="7" borderId="16" xfId="2" applyFont="1" applyFill="1" applyBorder="1" applyAlignment="1">
      <alignment horizontal="center"/>
    </xf>
    <xf numFmtId="0" fontId="12" fillId="7" borderId="14" xfId="0" applyFont="1" applyFill="1" applyBorder="1" applyAlignment="1">
      <alignment horizontal="center"/>
    </xf>
    <xf numFmtId="0" fontId="12" fillId="7" borderId="2" xfId="0" applyFont="1" applyFill="1" applyBorder="1" applyAlignment="1">
      <alignment horizontal="center"/>
    </xf>
    <xf numFmtId="0" fontId="12" fillId="7" borderId="15" xfId="0" applyFont="1" applyFill="1" applyBorder="1" applyAlignment="1">
      <alignment horizontal="center"/>
    </xf>
    <xf numFmtId="0" fontId="11" fillId="7" borderId="2" xfId="2" applyFont="1" applyFill="1" applyBorder="1" applyAlignment="1">
      <alignment horizontal="center"/>
    </xf>
    <xf numFmtId="0" fontId="1" fillId="0" borderId="4" xfId="2" applyFont="1" applyBorder="1" applyAlignment="1" applyProtection="1">
      <alignment horizontal="center" vertical="center" wrapText="1"/>
      <protection locked="0"/>
    </xf>
    <xf numFmtId="0" fontId="1" fillId="0" borderId="5" xfId="2" applyFont="1" applyBorder="1" applyAlignment="1" applyProtection="1">
      <alignment horizontal="center" vertical="center" wrapText="1"/>
      <protection locked="0"/>
    </xf>
    <xf numFmtId="0" fontId="1" fillId="0" borderId="6" xfId="2" applyFont="1" applyBorder="1" applyAlignment="1" applyProtection="1">
      <alignment horizontal="center" vertical="center" wrapText="1"/>
      <protection locked="0"/>
    </xf>
    <xf numFmtId="0" fontId="1" fillId="0" borderId="19" xfId="2" applyFont="1" applyBorder="1" applyAlignment="1" applyProtection="1">
      <alignment horizontal="center" vertical="center" wrapText="1"/>
      <protection locked="0"/>
    </xf>
    <xf numFmtId="0" fontId="1" fillId="0" borderId="0" xfId="2" applyFont="1" applyAlignment="1" applyProtection="1">
      <alignment horizontal="center" vertical="center" wrapText="1"/>
      <protection locked="0"/>
    </xf>
    <xf numFmtId="0" fontId="1" fillId="0" borderId="7" xfId="2" applyFont="1" applyBorder="1" applyAlignment="1" applyProtection="1">
      <alignment horizontal="center" vertical="center" wrapText="1"/>
      <protection locked="0"/>
    </xf>
    <xf numFmtId="0" fontId="1" fillId="0" borderId="20" xfId="2" applyFont="1" applyBorder="1" applyAlignment="1" applyProtection="1">
      <alignment horizontal="center" vertical="center" wrapText="1"/>
      <protection locked="0"/>
    </xf>
    <xf numFmtId="0" fontId="1" fillId="0" borderId="13" xfId="2" applyFont="1" applyBorder="1" applyAlignment="1" applyProtection="1">
      <alignment horizontal="center" vertical="center" wrapText="1"/>
      <protection locked="0"/>
    </xf>
    <xf numFmtId="0" fontId="1" fillId="0" borderId="21" xfId="2" applyFont="1" applyBorder="1" applyAlignment="1" applyProtection="1">
      <alignment horizontal="center" vertical="center" wrapText="1"/>
      <protection locked="0"/>
    </xf>
    <xf numFmtId="0" fontId="12" fillId="0" borderId="5" xfId="0" applyFont="1" applyBorder="1" applyAlignment="1" applyProtection="1">
      <alignment horizontal="center" vertical="center" wrapText="1"/>
      <protection locked="0"/>
    </xf>
    <xf numFmtId="0" fontId="12" fillId="0" borderId="6" xfId="0" applyFont="1" applyBorder="1" applyAlignment="1" applyProtection="1">
      <alignment horizontal="center" vertical="center" wrapText="1"/>
      <protection locked="0"/>
    </xf>
    <xf numFmtId="0" fontId="0" fillId="0" borderId="19" xfId="0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7" xfId="0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0" fillId="0" borderId="21" xfId="0" applyBorder="1" applyAlignment="1" applyProtection="1">
      <alignment horizontal="center" vertical="center" wrapText="1"/>
      <protection locked="0"/>
    </xf>
    <xf numFmtId="0" fontId="1" fillId="0" borderId="18" xfId="2" applyFont="1" applyBorder="1" applyAlignment="1" applyProtection="1">
      <alignment horizontal="center" vertical="center" wrapText="1"/>
      <protection locked="0"/>
    </xf>
    <xf numFmtId="0" fontId="0" fillId="0" borderId="11" xfId="0" applyBorder="1" applyAlignment="1" applyProtection="1">
      <alignment horizontal="center" vertical="center" wrapText="1"/>
      <protection locked="0"/>
    </xf>
    <xf numFmtId="0" fontId="0" fillId="0" borderId="23" xfId="0" applyBorder="1" applyAlignment="1" applyProtection="1">
      <alignment horizontal="center" vertical="center" wrapText="1"/>
      <protection locked="0"/>
    </xf>
    <xf numFmtId="0" fontId="1" fillId="0" borderId="4" xfId="2" applyFont="1" applyBorder="1" applyAlignment="1" applyProtection="1">
      <alignment horizontal="center" vertical="center"/>
      <protection locked="0"/>
    </xf>
    <xf numFmtId="0" fontId="1" fillId="0" borderId="5" xfId="2" applyFont="1" applyBorder="1" applyAlignment="1" applyProtection="1">
      <alignment horizontal="center" vertical="center"/>
      <protection locked="0"/>
    </xf>
    <xf numFmtId="0" fontId="1" fillId="0" borderId="17" xfId="2" applyFont="1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0" fontId="11" fillId="7" borderId="1" xfId="2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166" fontId="10" fillId="8" borderId="1" xfId="2" applyNumberFormat="1" applyFont="1" applyFill="1" applyBorder="1" applyAlignment="1" applyProtection="1">
      <alignment horizontal="center" vertical="center"/>
      <protection locked="0"/>
    </xf>
    <xf numFmtId="166" fontId="0" fillId="8" borderId="1" xfId="0" applyNumberFormat="1" applyFill="1" applyBorder="1" applyAlignment="1" applyProtection="1">
      <alignment horizontal="center" vertical="center"/>
      <protection locked="0"/>
    </xf>
    <xf numFmtId="0" fontId="11" fillId="7" borderId="24" xfId="2" applyFont="1" applyFill="1" applyBorder="1" applyAlignment="1">
      <alignment horizontal="center"/>
    </xf>
    <xf numFmtId="0" fontId="11" fillId="7" borderId="25" xfId="2" applyFont="1" applyFill="1" applyBorder="1" applyAlignment="1">
      <alignment horizontal="center"/>
    </xf>
    <xf numFmtId="0" fontId="11" fillId="7" borderId="3" xfId="2" applyFont="1" applyFill="1" applyBorder="1" applyAlignment="1">
      <alignment horizontal="center" wrapText="1"/>
    </xf>
    <xf numFmtId="0" fontId="12" fillId="7" borderId="14" xfId="0" applyFont="1" applyFill="1" applyBorder="1" applyAlignment="1">
      <alignment horizontal="center" wrapText="1"/>
    </xf>
    <xf numFmtId="0" fontId="12" fillId="7" borderId="2" xfId="0" applyFont="1" applyFill="1" applyBorder="1" applyAlignment="1">
      <alignment horizontal="center" wrapText="1"/>
    </xf>
    <xf numFmtId="0" fontId="28" fillId="0" borderId="26" xfId="2" applyFont="1" applyBorder="1" applyAlignment="1" applyProtection="1">
      <alignment horizontal="left" vertical="center" wrapText="1"/>
      <protection locked="0"/>
    </xf>
    <xf numFmtId="0" fontId="28" fillId="0" borderId="27" xfId="2" applyFont="1" applyBorder="1" applyAlignment="1" applyProtection="1">
      <alignment horizontal="left" vertical="center" wrapText="1"/>
      <protection locked="0"/>
    </xf>
    <xf numFmtId="0" fontId="28" fillId="0" borderId="28" xfId="2" applyFont="1" applyBorder="1" applyAlignment="1" applyProtection="1">
      <alignment horizontal="left" vertical="center" wrapText="1"/>
      <protection locked="0"/>
    </xf>
    <xf numFmtId="0" fontId="28" fillId="0" borderId="29" xfId="2" applyFont="1" applyBorder="1" applyAlignment="1" applyProtection="1">
      <alignment horizontal="left" vertical="center" wrapText="1"/>
      <protection locked="0"/>
    </xf>
    <xf numFmtId="0" fontId="28" fillId="0" borderId="30" xfId="2" applyFont="1" applyBorder="1" applyAlignment="1" applyProtection="1">
      <alignment horizontal="left" vertical="center" wrapText="1"/>
      <protection locked="0"/>
    </xf>
    <xf numFmtId="0" fontId="28" fillId="0" borderId="31" xfId="2" applyFont="1" applyBorder="1" applyAlignment="1" applyProtection="1">
      <alignment horizontal="left" vertical="center" wrapText="1"/>
      <protection locked="0"/>
    </xf>
    <xf numFmtId="0" fontId="28" fillId="0" borderId="32" xfId="2" applyFont="1" applyBorder="1" applyAlignment="1" applyProtection="1">
      <alignment horizontal="left" vertical="center" wrapText="1"/>
      <protection locked="0"/>
    </xf>
    <xf numFmtId="0" fontId="28" fillId="0" borderId="33" xfId="2" applyFont="1" applyBorder="1" applyAlignment="1" applyProtection="1">
      <alignment horizontal="left" vertical="center" wrapText="1"/>
      <protection locked="0"/>
    </xf>
    <xf numFmtId="0" fontId="28" fillId="0" borderId="34" xfId="2" applyFont="1" applyBorder="1" applyAlignment="1" applyProtection="1">
      <alignment horizontal="left" vertical="center" wrapText="1"/>
      <protection locked="0"/>
    </xf>
    <xf numFmtId="0" fontId="12" fillId="0" borderId="19" xfId="0" applyFont="1" applyBorder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2" fillId="0" borderId="7" xfId="0" applyFont="1" applyBorder="1" applyAlignment="1" applyProtection="1">
      <alignment horizontal="center" vertical="center" wrapText="1"/>
      <protection locked="0"/>
    </xf>
    <xf numFmtId="0" fontId="12" fillId="0" borderId="20" xfId="0" applyFont="1" applyBorder="1" applyAlignment="1" applyProtection="1">
      <alignment horizontal="center" vertical="center" wrapText="1"/>
      <protection locked="0"/>
    </xf>
    <xf numFmtId="0" fontId="12" fillId="0" borderId="13" xfId="0" applyFont="1" applyBorder="1" applyAlignment="1" applyProtection="1">
      <alignment horizontal="center" vertical="center" wrapText="1"/>
      <protection locked="0"/>
    </xf>
    <xf numFmtId="0" fontId="12" fillId="0" borderId="21" xfId="0" applyFont="1" applyBorder="1" applyAlignment="1" applyProtection="1">
      <alignment horizontal="center" vertical="center" wrapText="1"/>
      <protection locked="0"/>
    </xf>
    <xf numFmtId="0" fontId="7" fillId="9" borderId="3" xfId="0" applyFont="1" applyFill="1" applyBorder="1" applyAlignment="1">
      <alignment horizontal="center" vertical="center"/>
    </xf>
    <xf numFmtId="0" fontId="7" fillId="9" borderId="14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1" fillId="0" borderId="3" xfId="2" applyFont="1" applyBorder="1" applyAlignment="1" applyProtection="1">
      <alignment horizontal="left" vertical="center" wrapText="1"/>
      <protection locked="0"/>
    </xf>
    <xf numFmtId="0" fontId="0" fillId="0" borderId="14" xfId="0" applyBorder="1" applyAlignment="1" applyProtection="1">
      <alignment vertical="center" wrapText="1"/>
      <protection locked="0"/>
    </xf>
    <xf numFmtId="0" fontId="0" fillId="0" borderId="2" xfId="0" applyBorder="1" applyAlignment="1" applyProtection="1">
      <alignment vertical="center" wrapText="1"/>
      <protection locked="0"/>
    </xf>
    <xf numFmtId="1" fontId="0" fillId="0" borderId="3" xfId="0" applyNumberFormat="1" applyBorder="1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 wrapText="1"/>
      <protection locked="0"/>
    </xf>
    <xf numFmtId="0" fontId="11" fillId="7" borderId="35" xfId="2" applyFont="1" applyFill="1" applyBorder="1" applyAlignment="1">
      <alignment horizontal="center"/>
    </xf>
    <xf numFmtId="0" fontId="11" fillId="7" borderId="9" xfId="2" applyFont="1" applyFill="1" applyBorder="1" applyAlignment="1">
      <alignment horizontal="center"/>
    </xf>
    <xf numFmtId="0" fontId="11" fillId="7" borderId="10" xfId="2" applyFont="1" applyFill="1" applyBorder="1" applyAlignment="1">
      <alignment horizontal="center"/>
    </xf>
    <xf numFmtId="0" fontId="27" fillId="3" borderId="4" xfId="2" applyFont="1" applyFill="1" applyBorder="1" applyAlignment="1" applyProtection="1">
      <alignment horizontal="center" vertical="center" wrapText="1"/>
      <protection locked="0"/>
    </xf>
    <xf numFmtId="0" fontId="27" fillId="3" borderId="5" xfId="2" applyFont="1" applyFill="1" applyBorder="1" applyAlignment="1" applyProtection="1">
      <alignment horizontal="center" vertical="center" wrapText="1"/>
      <protection locked="0"/>
    </xf>
    <xf numFmtId="0" fontId="27" fillId="3" borderId="6" xfId="2" applyFont="1" applyFill="1" applyBorder="1" applyAlignment="1" applyProtection="1">
      <alignment horizontal="center" vertical="center" wrapText="1"/>
      <protection locked="0"/>
    </xf>
    <xf numFmtId="0" fontId="27" fillId="3" borderId="19" xfId="2" applyFont="1" applyFill="1" applyBorder="1" applyAlignment="1" applyProtection="1">
      <alignment horizontal="center" vertical="center" wrapText="1"/>
      <protection locked="0"/>
    </xf>
    <xf numFmtId="0" fontId="27" fillId="3" borderId="0" xfId="2" applyFont="1" applyFill="1" applyAlignment="1" applyProtection="1">
      <alignment horizontal="center" vertical="center" wrapText="1"/>
      <protection locked="0"/>
    </xf>
    <xf numFmtId="0" fontId="27" fillId="3" borderId="7" xfId="2" applyFont="1" applyFill="1" applyBorder="1" applyAlignment="1" applyProtection="1">
      <alignment horizontal="center" vertical="center" wrapText="1"/>
      <protection locked="0"/>
    </xf>
    <xf numFmtId="0" fontId="27" fillId="3" borderId="20" xfId="2" applyFont="1" applyFill="1" applyBorder="1" applyAlignment="1" applyProtection="1">
      <alignment horizontal="center" vertical="center" wrapText="1"/>
      <protection locked="0"/>
    </xf>
    <xf numFmtId="0" fontId="27" fillId="3" borderId="13" xfId="2" applyFont="1" applyFill="1" applyBorder="1" applyAlignment="1" applyProtection="1">
      <alignment horizontal="center" vertical="center" wrapText="1"/>
      <protection locked="0"/>
    </xf>
    <xf numFmtId="0" fontId="27" fillId="3" borderId="21" xfId="2" applyFont="1" applyFill="1" applyBorder="1" applyAlignment="1" applyProtection="1">
      <alignment horizontal="center" vertical="center" wrapText="1"/>
      <protection locked="0"/>
    </xf>
    <xf numFmtId="0" fontId="14" fillId="0" borderId="8" xfId="2" applyFont="1" applyBorder="1" applyAlignment="1" applyProtection="1">
      <alignment horizontal="center" vertical="center"/>
      <protection locked="0"/>
    </xf>
    <xf numFmtId="0" fontId="14" fillId="0" borderId="10" xfId="2" applyFont="1" applyBorder="1" applyAlignment="1" applyProtection="1">
      <alignment horizontal="center" vertical="center"/>
      <protection locked="0"/>
    </xf>
    <xf numFmtId="0" fontId="1" fillId="0" borderId="11" xfId="2" applyFont="1" applyBorder="1" applyAlignment="1" applyProtection="1">
      <alignment horizontal="left" vertical="center" wrapText="1"/>
      <protection locked="0"/>
    </xf>
    <xf numFmtId="0" fontId="1" fillId="0" borderId="0" xfId="2" applyFont="1" applyAlignment="1" applyProtection="1">
      <alignment horizontal="left" vertical="center" wrapText="1"/>
      <protection locked="0"/>
    </xf>
    <xf numFmtId="0" fontId="1" fillId="0" borderId="7" xfId="2" applyFont="1" applyBorder="1" applyAlignment="1" applyProtection="1">
      <alignment horizontal="left" vertical="center" wrapText="1"/>
      <protection locked="0"/>
    </xf>
    <xf numFmtId="0" fontId="1" fillId="0" borderId="12" xfId="2" applyFont="1" applyBorder="1" applyAlignment="1" applyProtection="1">
      <alignment horizontal="left" vertical="center" wrapText="1"/>
      <protection locked="0"/>
    </xf>
    <xf numFmtId="0" fontId="13" fillId="9" borderId="3" xfId="2" applyFont="1" applyFill="1" applyBorder="1" applyAlignment="1">
      <alignment horizontal="center"/>
    </xf>
    <xf numFmtId="0" fontId="7" fillId="9" borderId="14" xfId="0" applyFont="1" applyFill="1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0" fontId="1" fillId="8" borderId="11" xfId="2" applyFont="1" applyFill="1" applyBorder="1" applyAlignment="1">
      <alignment horizontal="left"/>
    </xf>
    <xf numFmtId="0" fontId="1" fillId="8" borderId="0" xfId="2" applyFont="1" applyFill="1" applyAlignment="1">
      <alignment horizontal="left"/>
    </xf>
    <xf numFmtId="0" fontId="1" fillId="8" borderId="7" xfId="2" applyFont="1" applyFill="1" applyBorder="1" applyAlignment="1">
      <alignment horizontal="left"/>
    </xf>
    <xf numFmtId="0" fontId="14" fillId="0" borderId="36" xfId="2" applyFont="1" applyBorder="1" applyAlignment="1" applyProtection="1">
      <alignment horizontal="center" vertical="center"/>
      <protection locked="0"/>
    </xf>
    <xf numFmtId="0" fontId="14" fillId="0" borderId="37" xfId="2" applyFont="1" applyBorder="1" applyAlignment="1" applyProtection="1">
      <alignment horizontal="center" vertical="center"/>
      <protection locked="0"/>
    </xf>
    <xf numFmtId="0" fontId="14" fillId="0" borderId="30" xfId="2" applyFont="1" applyBorder="1" applyAlignment="1" applyProtection="1">
      <alignment horizontal="center" vertical="center"/>
      <protection locked="0"/>
    </xf>
    <xf numFmtId="0" fontId="1" fillId="8" borderId="4" xfId="2" applyFont="1" applyFill="1" applyBorder="1" applyAlignment="1">
      <alignment horizontal="center" vertical="center"/>
    </xf>
    <xf numFmtId="0" fontId="1" fillId="8" borderId="5" xfId="2" applyFont="1" applyFill="1" applyBorder="1" applyAlignment="1">
      <alignment horizontal="center" vertical="center"/>
    </xf>
    <xf numFmtId="0" fontId="1" fillId="8" borderId="6" xfId="2" applyFont="1" applyFill="1" applyBorder="1" applyAlignment="1">
      <alignment horizontal="center" vertical="center"/>
    </xf>
    <xf numFmtId="0" fontId="1" fillId="8" borderId="19" xfId="2" applyFont="1" applyFill="1" applyBorder="1" applyAlignment="1">
      <alignment horizontal="center" vertical="center"/>
    </xf>
    <xf numFmtId="0" fontId="1" fillId="8" borderId="0" xfId="2" applyFont="1" applyFill="1" applyAlignment="1">
      <alignment horizontal="center" vertical="center"/>
    </xf>
    <xf numFmtId="0" fontId="1" fillId="8" borderId="7" xfId="2" applyFont="1" applyFill="1" applyBorder="1" applyAlignment="1">
      <alignment horizontal="center" vertical="center"/>
    </xf>
    <xf numFmtId="0" fontId="1" fillId="8" borderId="20" xfId="2" applyFont="1" applyFill="1" applyBorder="1" applyAlignment="1">
      <alignment horizontal="center" vertical="center"/>
    </xf>
    <xf numFmtId="0" fontId="1" fillId="8" borderId="13" xfId="2" applyFont="1" applyFill="1" applyBorder="1" applyAlignment="1">
      <alignment horizontal="center" vertical="center"/>
    </xf>
    <xf numFmtId="0" fontId="1" fillId="8" borderId="21" xfId="2" applyFont="1" applyFill="1" applyBorder="1" applyAlignment="1">
      <alignment horizontal="center" vertical="center"/>
    </xf>
    <xf numFmtId="0" fontId="13" fillId="14" borderId="36" xfId="2" applyFont="1" applyFill="1" applyBorder="1" applyAlignment="1">
      <alignment horizontal="left"/>
    </xf>
    <xf numFmtId="0" fontId="15" fillId="14" borderId="38" xfId="0" applyFont="1" applyFill="1" applyBorder="1"/>
    <xf numFmtId="0" fontId="15" fillId="14" borderId="37" xfId="0" applyFont="1" applyFill="1" applyBorder="1"/>
    <xf numFmtId="0" fontId="1" fillId="13" borderId="4" xfId="2" applyFont="1" applyFill="1" applyBorder="1" applyAlignment="1">
      <alignment horizontal="center" vertical="center"/>
    </xf>
    <xf numFmtId="0" fontId="1" fillId="13" borderId="5" xfId="2" applyFont="1" applyFill="1" applyBorder="1" applyAlignment="1">
      <alignment horizontal="center" vertical="center"/>
    </xf>
    <xf numFmtId="0" fontId="1" fillId="13" borderId="6" xfId="2" applyFont="1" applyFill="1" applyBorder="1" applyAlignment="1">
      <alignment horizontal="center" vertical="center"/>
    </xf>
    <xf numFmtId="0" fontId="1" fillId="13" borderId="19" xfId="2" applyFont="1" applyFill="1" applyBorder="1" applyAlignment="1">
      <alignment horizontal="center" vertical="center"/>
    </xf>
    <xf numFmtId="0" fontId="1" fillId="13" borderId="0" xfId="2" applyFont="1" applyFill="1" applyAlignment="1">
      <alignment horizontal="center" vertical="center"/>
    </xf>
    <xf numFmtId="0" fontId="1" fillId="13" borderId="7" xfId="2" applyFont="1" applyFill="1" applyBorder="1" applyAlignment="1">
      <alignment horizontal="center" vertical="center"/>
    </xf>
    <xf numFmtId="0" fontId="1" fillId="13" borderId="20" xfId="2" applyFont="1" applyFill="1" applyBorder="1" applyAlignment="1">
      <alignment horizontal="center" vertical="center"/>
    </xf>
    <xf numFmtId="0" fontId="1" fillId="13" borderId="13" xfId="2" applyFont="1" applyFill="1" applyBorder="1" applyAlignment="1">
      <alignment horizontal="center" vertical="center"/>
    </xf>
    <xf numFmtId="0" fontId="1" fillId="13" borderId="21" xfId="2" applyFont="1" applyFill="1" applyBorder="1" applyAlignment="1">
      <alignment horizontal="center" vertical="center"/>
    </xf>
    <xf numFmtId="0" fontId="10" fillId="12" borderId="4" xfId="2" applyFont="1" applyFill="1" applyBorder="1" applyAlignment="1" applyProtection="1">
      <alignment horizontal="center" vertical="center"/>
      <protection locked="0"/>
    </xf>
    <xf numFmtId="0" fontId="10" fillId="12" borderId="5" xfId="2" applyFont="1" applyFill="1" applyBorder="1" applyAlignment="1" applyProtection="1">
      <alignment horizontal="center" vertical="center"/>
      <protection locked="0"/>
    </xf>
    <xf numFmtId="0" fontId="10" fillId="12" borderId="6" xfId="2" applyFont="1" applyFill="1" applyBorder="1" applyAlignment="1" applyProtection="1">
      <alignment horizontal="center" vertical="center"/>
      <protection locked="0"/>
    </xf>
    <xf numFmtId="0" fontId="10" fillId="12" borderId="19" xfId="2" applyFont="1" applyFill="1" applyBorder="1" applyAlignment="1" applyProtection="1">
      <alignment horizontal="center" vertical="center"/>
      <protection locked="0"/>
    </xf>
    <xf numFmtId="0" fontId="10" fillId="12" borderId="0" xfId="2" applyFont="1" applyFill="1" applyAlignment="1" applyProtection="1">
      <alignment horizontal="center" vertical="center"/>
      <protection locked="0"/>
    </xf>
    <xf numFmtId="0" fontId="10" fillId="12" borderId="7" xfId="2" applyFont="1" applyFill="1" applyBorder="1" applyAlignment="1" applyProtection="1">
      <alignment horizontal="center" vertical="center"/>
      <protection locked="0"/>
    </xf>
    <xf numFmtId="0" fontId="10" fillId="12" borderId="20" xfId="2" applyFont="1" applyFill="1" applyBorder="1" applyAlignment="1" applyProtection="1">
      <alignment horizontal="center" vertical="center"/>
      <protection locked="0"/>
    </xf>
    <xf numFmtId="0" fontId="10" fillId="12" borderId="13" xfId="2" applyFont="1" applyFill="1" applyBorder="1" applyAlignment="1" applyProtection="1">
      <alignment horizontal="center" vertical="center"/>
      <protection locked="0"/>
    </xf>
    <xf numFmtId="0" fontId="10" fillId="12" borderId="21" xfId="2" applyFont="1" applyFill="1" applyBorder="1" applyAlignment="1" applyProtection="1">
      <alignment horizontal="center" vertical="center"/>
      <protection locked="0"/>
    </xf>
    <xf numFmtId="0" fontId="11" fillId="7" borderId="1" xfId="2" applyFont="1" applyFill="1" applyBorder="1" applyAlignment="1">
      <alignment horizontal="center"/>
    </xf>
    <xf numFmtId="0" fontId="1" fillId="10" borderId="3" xfId="2" applyFont="1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20" fillId="10" borderId="0" xfId="0" applyFont="1" applyFill="1" applyAlignment="1">
      <alignment horizontal="center" wrapText="1"/>
    </xf>
    <xf numFmtId="0" fontId="22" fillId="10" borderId="0" xfId="0" applyFont="1" applyFill="1" applyAlignment="1">
      <alignment horizontal="center" wrapText="1"/>
    </xf>
    <xf numFmtId="0" fontId="0" fillId="10" borderId="0" xfId="0" applyFill="1"/>
    <xf numFmtId="0" fontId="17" fillId="10" borderId="0" xfId="0" applyFont="1" applyFill="1" applyAlignment="1">
      <alignment horizontal="center" wrapText="1"/>
    </xf>
    <xf numFmtId="0" fontId="18" fillId="10" borderId="0" xfId="0" applyFont="1" applyFill="1" applyAlignment="1">
      <alignment horizontal="center" wrapText="1"/>
    </xf>
    <xf numFmtId="0" fontId="19" fillId="10" borderId="0" xfId="0" applyFont="1" applyFill="1" applyAlignment="1">
      <alignment horizontal="center"/>
    </xf>
    <xf numFmtId="14" fontId="10" fillId="8" borderId="1" xfId="2" applyNumberFormat="1" applyFont="1" applyFill="1" applyBorder="1" applyAlignment="1">
      <alignment horizontal="center" vertical="center"/>
    </xf>
    <xf numFmtId="0" fontId="10" fillId="13" borderId="40" xfId="2" applyFont="1" applyFill="1" applyBorder="1" applyAlignment="1">
      <alignment horizontal="center" vertical="center"/>
    </xf>
    <xf numFmtId="0" fontId="10" fillId="13" borderId="41" xfId="2" applyFont="1" applyFill="1" applyBorder="1" applyAlignment="1">
      <alignment horizontal="center" vertical="center"/>
    </xf>
    <xf numFmtId="0" fontId="10" fillId="13" borderId="42" xfId="2" applyFont="1" applyFill="1" applyBorder="1" applyAlignment="1">
      <alignment horizontal="center" vertical="center"/>
    </xf>
    <xf numFmtId="0" fontId="10" fillId="13" borderId="43" xfId="2" applyFont="1" applyFill="1" applyBorder="1" applyAlignment="1">
      <alignment horizontal="center" vertical="center"/>
    </xf>
    <xf numFmtId="0" fontId="10" fillId="13" borderId="44" xfId="2" applyFont="1" applyFill="1" applyBorder="1" applyAlignment="1">
      <alignment horizontal="center" vertical="center"/>
    </xf>
    <xf numFmtId="0" fontId="10" fillId="13" borderId="45" xfId="2" applyFont="1" applyFill="1" applyBorder="1" applyAlignment="1">
      <alignment horizontal="center" vertical="center"/>
    </xf>
    <xf numFmtId="0" fontId="1" fillId="11" borderId="3" xfId="2" applyFont="1" applyFill="1" applyBorder="1" applyAlignment="1">
      <alignment horizontal="center" vertical="center"/>
    </xf>
    <xf numFmtId="0" fontId="0" fillId="11" borderId="14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10" fillId="8" borderId="1" xfId="2" applyFont="1" applyFill="1" applyBorder="1" applyAlignment="1">
      <alignment horizontal="center" vertical="center"/>
    </xf>
    <xf numFmtId="0" fontId="1" fillId="8" borderId="36" xfId="2" applyFont="1" applyFill="1" applyBorder="1" applyAlignment="1">
      <alignment horizontal="center"/>
    </xf>
    <xf numFmtId="0" fontId="1" fillId="8" borderId="37" xfId="2" applyFont="1" applyFill="1" applyBorder="1" applyAlignment="1">
      <alignment horizontal="center"/>
    </xf>
    <xf numFmtId="0" fontId="11" fillId="15" borderId="36" xfId="2" applyFont="1" applyFill="1" applyBorder="1" applyAlignment="1">
      <alignment horizontal="left"/>
    </xf>
    <xf numFmtId="0" fontId="11" fillId="15" borderId="38" xfId="2" applyFont="1" applyFill="1" applyBorder="1" applyAlignment="1">
      <alignment horizontal="left"/>
    </xf>
    <xf numFmtId="0" fontId="11" fillId="15" borderId="37" xfId="2" applyFont="1" applyFill="1" applyBorder="1" applyAlignment="1">
      <alignment horizontal="left"/>
    </xf>
    <xf numFmtId="165" fontId="1" fillId="8" borderId="36" xfId="2" applyNumberFormat="1" applyFont="1" applyFill="1" applyBorder="1" applyAlignment="1">
      <alignment horizontal="center"/>
    </xf>
    <xf numFmtId="165" fontId="1" fillId="8" borderId="38" xfId="2" applyNumberFormat="1" applyFont="1" applyFill="1" applyBorder="1" applyAlignment="1">
      <alignment horizontal="center"/>
    </xf>
    <xf numFmtId="165" fontId="1" fillId="8" borderId="37" xfId="2" applyNumberFormat="1" applyFont="1" applyFill="1" applyBorder="1" applyAlignment="1">
      <alignment horizontal="center"/>
    </xf>
    <xf numFmtId="0" fontId="23" fillId="10" borderId="0" xfId="0" applyFont="1" applyFill="1" applyAlignment="1">
      <alignment horizontal="center"/>
    </xf>
    <xf numFmtId="0" fontId="23" fillId="11" borderId="0" xfId="0" applyFont="1" applyFill="1" applyAlignment="1">
      <alignment horizontal="left" vertical="top" wrapText="1"/>
    </xf>
    <xf numFmtId="1" fontId="23" fillId="11" borderId="0" xfId="0" applyNumberFormat="1" applyFont="1" applyFill="1" applyAlignment="1" applyProtection="1">
      <alignment horizontal="center" vertical="center"/>
      <protection locked="0"/>
    </xf>
    <xf numFmtId="1" fontId="23" fillId="11" borderId="0" xfId="0" applyNumberFormat="1" applyFont="1" applyFill="1" applyAlignment="1">
      <alignment horizontal="center" vertical="center"/>
    </xf>
    <xf numFmtId="0" fontId="23" fillId="11" borderId="0" xfId="0" applyFont="1" applyFill="1" applyAlignment="1">
      <alignment horizontal="center"/>
    </xf>
    <xf numFmtId="1" fontId="23" fillId="10" borderId="0" xfId="0" applyNumberFormat="1" applyFont="1" applyFill="1" applyAlignment="1" applyProtection="1">
      <alignment horizontal="center" vertical="center"/>
      <protection locked="0"/>
    </xf>
    <xf numFmtId="1" fontId="23" fillId="10" borderId="0" xfId="0" applyNumberFormat="1" applyFont="1" applyFill="1" applyAlignment="1">
      <alignment horizontal="center" vertical="center"/>
    </xf>
    <xf numFmtId="0" fontId="23" fillId="10" borderId="13" xfId="0" applyFont="1" applyFill="1" applyBorder="1" applyAlignment="1">
      <alignment horizontal="center"/>
    </xf>
    <xf numFmtId="0" fontId="17" fillId="10" borderId="0" xfId="0" applyFont="1" applyFill="1"/>
    <xf numFmtId="0" fontId="18" fillId="10" borderId="0" xfId="0" applyFont="1" applyFill="1"/>
    <xf numFmtId="1" fontId="18" fillId="10" borderId="0" xfId="0" applyNumberFormat="1" applyFont="1" applyFill="1" applyAlignment="1">
      <alignment horizontal="center" vertical="center"/>
    </xf>
    <xf numFmtId="0" fontId="18" fillId="0" borderId="0" xfId="0" applyFont="1" applyAlignment="1">
      <alignment horizontal="center"/>
    </xf>
    <xf numFmtId="0" fontId="17" fillId="11" borderId="0" xfId="0" applyFont="1" applyFill="1" applyAlignment="1">
      <alignment horizontal="center" wrapText="1"/>
    </xf>
    <xf numFmtId="0" fontId="18" fillId="11" borderId="0" xfId="0" applyFont="1" applyFill="1" applyAlignment="1">
      <alignment horizontal="center" wrapText="1"/>
    </xf>
    <xf numFmtId="0" fontId="19" fillId="11" borderId="0" xfId="0" applyFont="1" applyFill="1" applyAlignment="1">
      <alignment horizontal="center"/>
    </xf>
    <xf numFmtId="0" fontId="20" fillId="11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23" fillId="10" borderId="0" xfId="0" applyFont="1" applyFill="1"/>
    <xf numFmtId="0" fontId="23" fillId="10" borderId="0" xfId="0" applyFont="1" applyFill="1" applyAlignment="1">
      <alignment wrapText="1"/>
    </xf>
    <xf numFmtId="0" fontId="8" fillId="2" borderId="0" xfId="0" applyFont="1" applyFill="1" applyAlignment="1">
      <alignment horizontal="center"/>
    </xf>
    <xf numFmtId="0" fontId="17" fillId="11" borderId="0" xfId="0" applyFont="1" applyFill="1"/>
    <xf numFmtId="0" fontId="18" fillId="11" borderId="0" xfId="0" applyFont="1" applyFill="1"/>
    <xf numFmtId="1" fontId="18" fillId="11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 wrapText="1"/>
    </xf>
    <xf numFmtId="1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0" fontId="20" fillId="2" borderId="0" xfId="0" applyFont="1" applyFill="1" applyAlignment="1">
      <alignment horizontal="center" wrapText="1"/>
    </xf>
    <xf numFmtId="0" fontId="22" fillId="2" borderId="0" xfId="0" applyFont="1" applyFill="1" applyAlignment="1">
      <alignment horizontal="center" wrapText="1"/>
    </xf>
    <xf numFmtId="0" fontId="0" fillId="2" borderId="0" xfId="0" applyFill="1"/>
    <xf numFmtId="0" fontId="4" fillId="2" borderId="0" xfId="0" applyFont="1" applyFill="1" applyAlignment="1">
      <alignment wrapText="1"/>
    </xf>
    <xf numFmtId="0" fontId="23" fillId="11" borderId="13" xfId="0" applyFont="1" applyFill="1" applyBorder="1" applyAlignment="1">
      <alignment horizontal="center"/>
    </xf>
    <xf numFmtId="0" fontId="24" fillId="2" borderId="0" xfId="0" applyFont="1" applyFill="1" applyAlignment="1">
      <alignment horizontal="center" wrapText="1"/>
    </xf>
    <xf numFmtId="0" fontId="6" fillId="2" borderId="0" xfId="0" applyFont="1" applyFill="1" applyAlignment="1">
      <alignment horizontal="center" wrapText="1"/>
    </xf>
    <xf numFmtId="0" fontId="10" fillId="8" borderId="4" xfId="2" applyFont="1" applyFill="1" applyBorder="1" applyAlignment="1">
      <alignment horizontal="center" vertical="center" wrapText="1"/>
    </xf>
    <xf numFmtId="0" fontId="10" fillId="8" borderId="5" xfId="2" applyFont="1" applyFill="1" applyBorder="1" applyAlignment="1">
      <alignment horizontal="center" vertical="center" wrapText="1"/>
    </xf>
    <xf numFmtId="0" fontId="10" fillId="8" borderId="6" xfId="2" applyFont="1" applyFill="1" applyBorder="1" applyAlignment="1">
      <alignment horizontal="center" vertical="center" wrapText="1"/>
    </xf>
    <xf numFmtId="0" fontId="10" fillId="8" borderId="19" xfId="2" applyFont="1" applyFill="1" applyBorder="1" applyAlignment="1">
      <alignment horizontal="center" vertical="center" wrapText="1"/>
    </xf>
    <xf numFmtId="0" fontId="10" fillId="8" borderId="0" xfId="2" applyFont="1" applyFill="1" applyAlignment="1">
      <alignment horizontal="center" vertical="center" wrapText="1"/>
    </xf>
    <xf numFmtId="0" fontId="10" fillId="8" borderId="7" xfId="2" applyFont="1" applyFill="1" applyBorder="1" applyAlignment="1">
      <alignment horizontal="center" vertical="center" wrapText="1"/>
    </xf>
    <xf numFmtId="0" fontId="10" fillId="8" borderId="20" xfId="2" applyFont="1" applyFill="1" applyBorder="1" applyAlignment="1">
      <alignment horizontal="center" vertical="center" wrapText="1"/>
    </xf>
    <xf numFmtId="0" fontId="10" fillId="8" borderId="13" xfId="2" applyFont="1" applyFill="1" applyBorder="1" applyAlignment="1">
      <alignment horizontal="center" vertical="center" wrapText="1"/>
    </xf>
    <xf numFmtId="0" fontId="10" fillId="8" borderId="21" xfId="2" applyFont="1" applyFill="1" applyBorder="1" applyAlignment="1">
      <alignment horizontal="center" vertical="center" wrapText="1"/>
    </xf>
    <xf numFmtId="0" fontId="10" fillId="8" borderId="40" xfId="2" applyFont="1" applyFill="1" applyBorder="1" applyAlignment="1">
      <alignment horizontal="center" vertical="center"/>
    </xf>
    <xf numFmtId="0" fontId="10" fillId="8" borderId="41" xfId="2" applyFont="1" applyFill="1" applyBorder="1" applyAlignment="1">
      <alignment horizontal="center" vertical="center"/>
    </xf>
    <xf numFmtId="0" fontId="10" fillId="8" borderId="42" xfId="2" applyFont="1" applyFill="1" applyBorder="1" applyAlignment="1">
      <alignment horizontal="center" vertical="center"/>
    </xf>
    <xf numFmtId="0" fontId="10" fillId="8" borderId="43" xfId="2" applyFont="1" applyFill="1" applyBorder="1" applyAlignment="1">
      <alignment horizontal="center" vertical="center"/>
    </xf>
    <xf numFmtId="0" fontId="10" fillId="8" borderId="44" xfId="2" applyFont="1" applyFill="1" applyBorder="1" applyAlignment="1">
      <alignment horizontal="center" vertical="center"/>
    </xf>
    <xf numFmtId="0" fontId="10" fillId="8" borderId="45" xfId="2" applyFont="1" applyFill="1" applyBorder="1" applyAlignment="1">
      <alignment horizontal="center" vertical="center"/>
    </xf>
    <xf numFmtId="0" fontId="16" fillId="7" borderId="1" xfId="2" applyFont="1" applyFill="1" applyBorder="1" applyAlignment="1">
      <alignment horizontal="center"/>
    </xf>
  </cellXfs>
  <cellStyles count="6">
    <cellStyle name="Excel Built-in Normal" xfId="1" xr:uid="{00000000-0005-0000-0000-000000000000}"/>
    <cellStyle name="Hyperlink" xfId="4" xr:uid="{00000000-000B-0000-0000-000008000000}"/>
    <cellStyle name="Normal" xfId="0" builtinId="0"/>
    <cellStyle name="Normal 2 3" xfId="2" xr:uid="{00000000-0005-0000-0000-000002000000}"/>
    <cellStyle name="Vírgula 2" xfId="3" xr:uid="{B82D066A-188D-48BC-9244-D1A778108CCC}"/>
    <cellStyle name="Vírgula 3" xfId="5" xr:uid="{EBA9C729-2D1B-4FBD-8B13-6F8E06E4CA03}"/>
  </cellStyles>
  <dxfs count="0"/>
  <tableStyles count="0" defaultTableStyle="TableStyleMedium2" defaultPivotStyle="PivotStyleLight16"/>
  <colors>
    <mruColors>
      <color rgb="FF9966FF"/>
      <color rgb="FFFF2F92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334817</xdr:colOff>
      <xdr:row>0</xdr:row>
      <xdr:rowOff>130065</xdr:rowOff>
    </xdr:from>
    <xdr:to>
      <xdr:col>12</xdr:col>
      <xdr:colOff>8991</xdr:colOff>
      <xdr:row>3</xdr:row>
      <xdr:rowOff>370755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525BF0E2-5033-4482-85CD-C8AB75B792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960" t="9597" r="6772" b="11615"/>
        <a:stretch/>
      </xdr:blipFill>
      <xdr:spPr>
        <a:xfrm>
          <a:off x="438726" y="130065"/>
          <a:ext cx="1059629" cy="8987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4" dT="2022-02-18T17:52:48.42" personId="{00000000-0000-0000-0000-000000000000}" id="{BF59F9C5-27E2-4CF4-8D8E-1C54F3BC6A7C}">
    <text>Será preenchido por TI (Miguel)</text>
  </threadedComment>
  <threadedComment ref="AL4" dT="2022-02-18T17:52:17.41" personId="{00000000-0000-0000-0000-000000000000}" id="{8597C85C-E0B0-4961-B07B-ADD1C1BA6B61}">
    <text>Será gerado pela ferramenta de controle de chamado e preenchido aqui por TI (Miguel)</text>
  </threadedComment>
  <threadedComment ref="B5" dT="2022-02-18T17:55:27.87" personId="{00000000-0000-0000-0000-000000000000}" id="{9815F837-4BCE-4537-9B03-B49370732341}">
    <text xml:space="preserve">Dê um Título/Nome para
o projeto/demanda </text>
  </threadedComment>
  <threadedComment ref="BB5" dT="2022-02-18T17:54:25.85" personId="{00000000-0000-0000-0000-000000000000}" id="{20434C90-3357-42EF-A385-32D7D13CF1C3}">
    <text xml:space="preserve">Descreva o objetivo estratégico para o grupo Barão do projeto/demanda </text>
  </threadedComment>
  <threadedComment ref="DJ5" dT="2022-02-18T13:44:56.77" personId="{00000000-0000-0000-0000-000000000000}" id="{17DC8915-FDC6-4A74-81D8-89BD81801368}">
    <text>Escolher na lista suspensa o tipo de demanda</text>
  </threadedComment>
  <threadedComment ref="EA5" dT="2022-02-18T13:46:27.72" personId="{00000000-0000-0000-0000-000000000000}" id="{10A9A678-2E00-454D-AE06-A0FD494C2545}">
    <text>Escolher na Lista suspensa os indicadores que serão impactados com a implantação do projeto (novos indicadores poderão ser inseridos, solicitar ao Miguel)</text>
  </threadedComment>
  <threadedComment ref="B13" dT="2022-02-18T17:56:39.95" personId="{00000000-0000-0000-0000-000000000000}" id="{BA0243B3-67A3-489F-9001-E74FD9972834}">
    <text>Descreva detalhadamente a iniciativa e os resultados esperados após a implantação do mesmo.</text>
  </threadedComment>
  <threadedComment ref="CA13" dT="2022-02-18T13:44:00.98" personId="{00000000-0000-0000-0000-000000000000}" id="{7301E040-939C-434A-BEDE-BF5DB11AEFA9}">
    <text>Descrever neste campo se há dependência ou cruzamento com outras iniciativas/projetos</text>
  </threadedComment>
  <threadedComment ref="EA13" dT="2022-02-18T14:11:05.69" personId="{00000000-0000-0000-0000-000000000000}" id="{101CA608-44BE-4EB0-876B-D0B68D829E0A}">
    <text>Escolher na Lista suspensa o Ricso se o Projeto/Demanda não for implantado.</text>
  </threadedComment>
  <threadedComment ref="B21" dT="2022-02-18T13:50:37.28" personId="{00000000-0000-0000-0000-000000000000}" id="{6AC847A8-ACB4-40D7-8723-D883A54CC35A}">
    <text>Escolher a Meta de Negócio na lista suspensa. Após isso pegue a pontuação da Meta de Negócio e preencha o campo ao lado direito.</text>
  </threadedComment>
  <threadedComment ref="EA21" dT="2022-02-18T13:48:46.65" personId="{00000000-0000-0000-0000-000000000000}" id="{390FBD59-1026-4ED7-A715-84F415CB0E8E}">
    <text>Preenchido via fórmula com o numero calculado com base na Meta de Negócio</text>
  </threadedComment>
  <threadedComment ref="B24" dT="2022-02-18T13:41:35.85" personId="{00000000-0000-0000-0000-000000000000}" id="{47EF2696-4B40-4450-8812-D1EA12FC22B0}">
    <text>Colocar “X”nas áreas que serão impactadas pela Demanda/Projeto</text>
  </threadedComment>
  <threadedComment ref="CA24" dT="2022-02-18T13:51:39.38" personId="{00000000-0000-0000-0000-000000000000}" id="{023DF55B-AE92-4C0B-ACFC-5DD4F11ED603}">
    <text>Descrever sucintamente os possíveis impactos que a iniciativa/demanda causará em outras áreas</text>
  </threadedComment>
  <threadedComment ref="B35" dT="2022-02-18T13:53:36.99" personId="{00000000-0000-0000-0000-000000000000}" id="{758A3765-7BED-41F0-826E-85826390D5D1}">
    <text>Responda as perguntas do Quadro : Cálculo de Complexidade do Projeto/Desenvolvimento (ao final desta ficha)</text>
  </threadedComment>
  <threadedComment ref="BP35" dT="2022-02-18T13:54:55.64" personId="{00000000-0000-0000-0000-000000000000}" id="{D1FDF898-01B2-4AC4-9855-CA9B5EA40C1E}">
    <text>Respondendo as perguntas do Quadro : Cálculo de Complexidade do Projeto/Desenvolvimento (ao final desta ficha), o número do final do cálculo subirá automaticamente para este campo.</text>
  </threadedComment>
  <threadedComment ref="CB35" dT="2022-02-18T13:56:06.02" personId="{00000000-0000-0000-0000-000000000000}" id="{661777CF-AEC8-4829-B81B-A85C374DA605}">
    <text>Responda as perguntas do Quadro : Cálculo de Priorização do Projeto/Desenvolvimento(ao final desta ficha).</text>
  </threadedComment>
  <threadedComment ref="EG35" dT="2022-02-18T13:56:54.08" personId="{00000000-0000-0000-0000-000000000000}" id="{EB119777-7B3C-48B7-A7AD-B065E8BC1577}">
    <text>Respondendo as perguntas do Quadro : Cálculo de Priorização do Projeto/Desenvolvimento (ao final desta ficha), o número do final do cálculo subirá automaticamente para este campo.</text>
  </threadedComment>
  <threadedComment ref="B37" dT="2022-02-18T15:49:22.00" personId="{00000000-0000-0000-0000-000000000000}" id="{00FAA2F9-E792-45F7-96CA-45412BCDEAEA}">
    <text>Nome e Assinatura da Pessoa que solicitou a Demanda/Projeto</text>
  </threadedComment>
  <threadedComment ref="CB37" dT="2022-02-18T15:50:05.08" personId="{00000000-0000-0000-0000-000000000000}" id="{845D8DD9-1FF1-4B93-9AFE-EBB38ED65A17}">
    <text>Nome e Assinatura do Diretor que aprovou o Projeto</text>
  </threadedComment>
  <threadedComment ref="DA37" dT="2022-02-18T15:52:23.60" personId="{00000000-0000-0000-0000-000000000000}" id="{E3BC755F-17E5-4E76-9387-76DC03C9BD4C}">
    <text>Data da aprovação do Projeto/Demanda.</text>
  </threadedComment>
  <threadedComment ref="DN37" dT="2022-02-18T15:51:00.01" personId="{00000000-0000-0000-0000-000000000000}" id="{06E5E9F0-EC2A-40F6-BC82-F45656439D58}">
    <text>Data de quando o projeto pode ser iniciado - preenchido por TI</text>
  </threadedComment>
  <threadedComment ref="EG37" dT="2022-02-18T15:51:44.80" personId="{00000000-0000-0000-0000-000000000000}" id="{54AEE40A-22B4-4857-A090-AE7B708D1AC6}">
    <text>Data prevista de quando o projeto deve ser finalizado - preenchido por TI</text>
  </threadedComment>
  <threadedComment ref="B42" dT="2022-02-18T15:45:56.09" personId="{00000000-0000-0000-0000-000000000000}" id="{4B8F11B4-8340-41F6-9828-6C18607FFC1A}">
    <text>Recursos envolvidos ou necessários para o Desenvolvimento do Projeto/Demanda - Será preenchido por TI na maioria dos caso</text>
  </threadedComment>
  <threadedComment ref="Y42" dT="2022-02-18T15:48:04.77" personId="{00000000-0000-0000-0000-000000000000}" id="{AB704D54-F06A-402B-8154-73CBA2D644F0}">
    <text>Será descrito aqui a Justificativa da reprovação da Demanda/Projeto. Mas caso aprovado também poderá ser utilizado p/justificar a aprovação caso a pessoa assim deseje.</text>
  </threadedComment>
  <threadedComment ref="CB42" dT="2022-02-18T15:54:34.91" personId="{00000000-0000-0000-0000-000000000000}" id="{1A42EA5B-3BC5-4B41-B4DE-7440099DDCD2}">
    <text>Este quadro com os valores de Investimentos e Despesas por ano para o Projeto/Demanda deve ser preenchido por TI ou pela Diretor Financeiro</text>
  </threadedComment>
  <threadedComment ref="CB46" dT="2022-02-18T15:56:07.45" personId="{00000000-0000-0000-0000-000000000000}" id="{8B7FA507-585D-4038-B46A-48074EF516BB}">
    <text>Faça um breve descritivo sobre os investimentos e despesas necessários para desenvolver, implantar e manter o Projeto/Demanda.</text>
  </threadedComment>
  <threadedComment ref="CB52" dT="2022-02-18T15:57:18.24" personId="{00000000-0000-0000-0000-000000000000}" id="{9B484DFB-78BA-46AE-B203-CD9BD6021991}">
    <text>Este campo é preenchido pelo Diretor Financeiro caso tenha dados para o cálculo</text>
  </threadedComment>
  <threadedComment ref="CW52" dT="2022-02-18T15:57:32.47" personId="{00000000-0000-0000-0000-000000000000}" id="{4482B0ED-6BA5-4F09-8F27-51EE863C3C14}">
    <text>Este campo é preenchido pelo Diretor Financeiro caso tenha dados para o cálculo</text>
  </threadedComment>
  <threadedComment ref="DH52" dT="2022-02-18T17:50:07.10" personId="{00000000-0000-0000-0000-000000000000}" id="{882711C5-7759-47FB-BE5B-F739FE32C4EF}">
    <text>Este campo é preenchido pelo Diretor Financeiro caso tenha dados para o cálculo</text>
  </threadedComment>
  <threadedComment ref="DS52" dT="2022-02-18T15:57:44.30" personId="{00000000-0000-0000-0000-000000000000}" id="{07849420-7196-453D-83C2-66B6C8BEFBF7}">
    <text>Este campo é preenchido pelo Diretor Financeiro caso tenha dados para o cálculo</text>
  </threadedComment>
  <threadedComment ref="B56" dT="2022-02-18T15:58:30.83" personId="{00000000-0000-0000-0000-000000000000}" id="{4CF32B55-B99C-4AA4-92B1-F4017F3CF6C0}">
    <text>Detalhamento das etapas do Projeto/Demanda - Preenchido por TI</text>
  </threadedComment>
  <threadedComment ref="BE56" dT="2022-02-18T15:59:48.23" personId="{00000000-0000-0000-0000-000000000000}" id="{1411162E-0FEF-47CF-B2E2-B16A68578206}">
    <text>Data de início da Etapa</text>
  </threadedComment>
  <threadedComment ref="BP56" dT="2022-02-18T16:00:05.05" personId="{00000000-0000-0000-0000-000000000000}" id="{A20A0F4B-6218-411B-9E8F-AE209FFCAC60}">
    <text>Data fim da Etapa</text>
  </threadedComment>
  <threadedComment ref="CA56" dT="2022-02-18T15:59:23.61" personId="{00000000-0000-0000-0000-000000000000}" id="{330F8BB0-26C1-4055-9811-E1B329447752}">
    <text>Nome do responsável pela Etapa do Projeto/Desenvolvimento</text>
  </threadedComment>
  <threadedComment ref="DH56" dT="2022-02-18T16:00:45.58" personId="{00000000-0000-0000-0000-000000000000}" id="{E72CBE77-026C-4F2E-9FAB-05C98B2DE719}">
    <text>Quais são os recursos necessários para desenvolver a etapa</text>
  </threadedComment>
  <threadedComment ref="BE65" dT="2022-02-18T13:59:24.12" personId="{00000000-0000-0000-0000-000000000000}" id="{9E53297F-5A80-4813-AE43-56DA07BDB78A}">
    <text>Na lista supsensa,escolha as respostas para as perguntas.</text>
  </threadedComment>
  <threadedComment ref="BP65" dT="2022-02-18T14:01:00.49" personId="{00000000-0000-0000-0000-000000000000}" id="{60A5F8BD-C382-4DA7-A70F-A7217C1F5C64}">
    <text>De acordo com as opções feitas, escolhas a Nota conf esclarecido ao lado da pergunta.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1" dT="2022-02-18T12:20:56.65" personId="{00000000-0000-0000-0000-000000000000}" id="{ACDBF9A3-A6EE-4556-9112-A6B55E25E45A}">
    <text>Status atual do Projeto/Demanda</text>
  </threadedComment>
  <threadedComment ref="F1" dT="2022-02-18T12:09:45.62" personId="{00000000-0000-0000-0000-000000000000}" id="{D0CEF864-1A44-40AD-A1E0-AE6D5A85F4C2}">
    <text>Em qual Sistema/Ferramenta/Plataforma será executado a Demanda/Projeto ?</text>
  </threadedComment>
  <threadedComment ref="J1" dT="2022-02-18T12:23:40.28" personId="{00000000-0000-0000-0000-000000000000}" id="{A684A3B0-0A6F-446F-AEC7-CC11A81EA6EF}">
    <text>Qual será o nome do Iniciativa/Projeto ?</text>
  </threadedComment>
  <threadedComment ref="K1" dT="2022-02-18T12:22:49.13" personId="{00000000-0000-0000-0000-000000000000}" id="{99686298-77E8-4FCD-824D-A0B63839113C}">
    <text>Descreve aqui a Iniciativa e os resultados e benefícios que espera ter quando o Projeto/Demanda for implementado</text>
  </threadedComment>
  <threadedComment ref="L1" dT="2022-02-18T12:12:47.69" personId="{00000000-0000-0000-0000-000000000000}" id="{1BB2CA7C-33DA-43FB-91B8-66FB07723C29}">
    <text>Descrever sucintamente os Investimentos/Despesas necessários para execução da Demanda/Projeto</text>
  </threadedComment>
  <threadedComment ref="M1" dT="2022-02-18T12:14:41.70" personId="{00000000-0000-0000-0000-000000000000}" id="{C620EABD-EFE3-4298-8C03-97CFDD9C3C8F}">
    <text>Quantidade de horas que o desenvolvedor usará para e criar a solução solicitada - Deve ser preenchido por TI após orçamento de terceiro ou cálculo de horas de recursos internos</text>
  </threadedComment>
  <threadedComment ref="AB1" dT="2022-02-18T12:25:02.02" personId="{00000000-0000-0000-0000-000000000000}" id="{46A42452-2347-467F-A0C6-1BC6A07B9562}">
    <text>Aqui será definido o número da demanda pra efeitos de controle de Ficha</text>
  </threadedComment>
  <threadedComment ref="AJ1" dT="2022-02-18T12:00:30.98" personId="{00000000-0000-0000-0000-000000000000}" id="{D49BB320-94AF-4498-8042-1F25855F06FD}">
    <text>Metas de Negócios foram estabelecidas pela Diretoria Barão e estão na Aba “Metas Neg”. Este campo gerará os Pontos da Meta de Negócio na Coluna “M"</text>
  </threadedComment>
  <threadedComment ref="AK1" dT="2022-02-17T19:37:42.93" personId="{00000000-0000-0000-0000-000000000000}" id="{AA0C0C05-F46C-4C13-BEB0-611624C28722}">
    <text>De 1 a 10, quanto mais alto, mais prioritário para o negócio</text>
  </threadedComment>
  <threadedComment ref="AL1" dT="2022-02-18T12:03:25.27" personId="{00000000-0000-0000-0000-000000000000}" id="{F09210A9-9403-4B2D-9695-ABF2E48BCCDC}">
    <text>Esta Meta de Negócio Complementar, será utilizada como 1a.alternativa de desempate quanto os Pontos forem iguais nas Demandas levadas a Comitê.</text>
  </threadedComment>
  <threadedComment ref="AM1" dT="2022-02-18T12:03:46.80" personId="{00000000-0000-0000-0000-000000000000}" id="{0739F0C5-9E7B-4222-BBED-5637C112986A}">
    <text>Esta Meta de Negócio Complementar, será utilizada como 2a.alternativa de desempate quanto os Pontos forem iguais nas Demandas levadas a Comitê.</text>
  </threadedComment>
  <threadedComment ref="AN1" dT="2022-02-18T12:04:41.18" personId="{00000000-0000-0000-0000-000000000000}" id="{F0FFD03E-DEF5-4C42-94D7-EE8B1FAEA25C}">
    <text>Descrever todas as áreas impactadas pela iniciativa/demanda</text>
  </threadedComment>
  <threadedComment ref="AO1" dT="2022-02-18T12:05:43.43" personId="{00000000-0000-0000-0000-000000000000}" id="{647E8B44-99FE-4E9D-B0F4-59CA54B53A47}">
    <text>Descrever sucintamente os possíveis impactos que a iniciativa/demanda causará em outras áreas</text>
  </threadedComment>
  <threadedComment ref="AP1" dT="2022-02-18T12:10:34.15" personId="{00000000-0000-0000-0000-000000000000}" id="{634F3383-876B-4644-9B93-C2AE44B31F86}">
    <text>Quais os recursos serão utilizados para execução da Demanda/Projeto ?</text>
  </threadedComment>
  <threadedComment ref="AQ1" dT="2022-02-18T12:15:44.66" personId="{00000000-0000-0000-0000-000000000000}" id="{8EAB9FC3-52C5-4DA3-9C89-171BE408FA57}">
    <text>Valor que será investido no desenvolvimento da demanda - geralmente qtd horas x vr hora</text>
  </threadedComment>
  <threadedComment ref="AR1" dT="2022-02-18T12:17:32.81" personId="{00000000-0000-0000-0000-000000000000}" id="{6FD3A144-B494-4A5D-8E06-930AB1685B93}">
    <text xml:space="preserve">Retorno do Investimento - quando possível será calculado pelo Controller </text>
  </threadedComment>
  <threadedComment ref="AS1" dT="2022-02-18T12:18:44.75" personId="{00000000-0000-0000-0000-000000000000}" id="{1FF5F8A6-4420-486D-AC15-EA158F9FC69A}">
    <text xml:space="preserve">Nome do membro da Diretoria que aprovou a execução/investimento </text>
  </threadedComment>
  <threadedComment ref="AT1" dT="2022-02-18T12:19:12.90" personId="{00000000-0000-0000-0000-000000000000}" id="{AED80D09-CD1F-4408-92DC-98B1D1A26F6A}">
    <text>Data de início do Projeto/Demanda</text>
  </threadedComment>
  <threadedComment ref="AU1" dT="2022-02-18T12:19:43.85" personId="{00000000-0000-0000-0000-000000000000}" id="{FD71ACC4-0479-45DF-B481-6ED3F88B3DB1}">
    <text xml:space="preserve">Data/Prazo Final de Entrega do Projeto/Demanda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0FA98-2A3A-4DB1-819E-910CFEFDF3D9}">
  <sheetPr codeName="Planilha7">
    <tabColor rgb="FF00B0F0"/>
  </sheetPr>
  <dimension ref="A1:EZ89"/>
  <sheetViews>
    <sheetView showGridLines="0" tabSelected="1" zoomScale="55" zoomScaleNormal="55" workbookViewId="0">
      <selection activeCell="B6" sqref="B6:BA11"/>
    </sheetView>
  </sheetViews>
  <sheetFormatPr defaultColWidth="10.88671875" defaultRowHeight="14.4" x14ac:dyDescent="0.3"/>
  <cols>
    <col min="1" max="1" width="1.5546875" customWidth="1"/>
    <col min="2" max="2" width="5.109375" customWidth="1"/>
    <col min="3" max="23" width="1.5546875" customWidth="1"/>
    <col min="24" max="24" width="6.109375" customWidth="1"/>
    <col min="25" max="25" width="3" customWidth="1"/>
    <col min="26" max="38" width="1.5546875" customWidth="1"/>
    <col min="39" max="39" width="4" customWidth="1"/>
    <col min="40" max="45" width="1.5546875" customWidth="1"/>
    <col min="46" max="46" width="5.88671875" customWidth="1"/>
    <col min="47" max="55" width="1.5546875" customWidth="1"/>
    <col min="56" max="56" width="22.5546875" customWidth="1"/>
    <col min="57" max="79" width="1.5546875" customWidth="1"/>
    <col min="80" max="80" width="6.33203125" customWidth="1"/>
    <col min="81" max="85" width="1.5546875" customWidth="1"/>
    <col min="86" max="86" width="2.88671875" customWidth="1"/>
    <col min="87" max="87" width="1.5546875" customWidth="1"/>
    <col min="88" max="88" width="1.44140625" customWidth="1"/>
    <col min="89" max="113" width="1.5546875" customWidth="1"/>
    <col min="114" max="114" width="5.109375" customWidth="1"/>
    <col min="115" max="156" width="1.5546875" customWidth="1"/>
  </cols>
  <sheetData>
    <row r="1" spans="1:156" ht="15.6" x14ac:dyDescent="0.3">
      <c r="A1" s="37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CR1" s="35"/>
      <c r="CS1" s="35"/>
      <c r="CT1" s="35"/>
      <c r="CU1" s="35"/>
      <c r="CV1" s="35"/>
      <c r="CW1" s="35"/>
      <c r="CX1" s="35"/>
      <c r="CY1" s="35"/>
      <c r="CZ1" s="35"/>
      <c r="DA1" s="35"/>
      <c r="DB1" s="35"/>
      <c r="DC1" s="35"/>
      <c r="DD1" s="35"/>
      <c r="DE1" s="35"/>
      <c r="DF1" s="35"/>
      <c r="DG1" s="35"/>
      <c r="DH1" s="35"/>
      <c r="DI1" s="35"/>
      <c r="DJ1" s="35"/>
      <c r="DK1" s="35"/>
      <c r="DL1" s="35"/>
      <c r="DM1" s="35"/>
      <c r="DN1" s="35"/>
      <c r="DO1" s="35"/>
      <c r="DP1" s="35"/>
      <c r="DQ1" s="35"/>
      <c r="DR1" s="35"/>
      <c r="DS1" s="35"/>
      <c r="DT1" s="35"/>
      <c r="DU1" s="35"/>
      <c r="DV1" s="35"/>
      <c r="DW1" s="35"/>
      <c r="DX1" s="35"/>
      <c r="DY1" s="35"/>
      <c r="DZ1" s="35"/>
      <c r="EA1" s="35"/>
      <c r="EB1" s="35"/>
      <c r="EC1" s="35"/>
      <c r="ED1" s="35"/>
      <c r="EE1" s="35"/>
      <c r="EF1" s="35"/>
      <c r="EG1" s="35"/>
      <c r="EH1" s="35"/>
      <c r="EI1" s="35"/>
      <c r="EJ1" s="35"/>
      <c r="EK1" s="35"/>
      <c r="EL1" s="35"/>
      <c r="EM1" s="35"/>
      <c r="EN1" s="35"/>
      <c r="EO1" s="35"/>
      <c r="EP1" s="35"/>
      <c r="EQ1" s="35"/>
      <c r="ER1" s="35"/>
      <c r="ES1" s="35"/>
      <c r="ET1" s="35"/>
      <c r="EU1" s="35"/>
      <c r="EV1" s="35"/>
      <c r="EW1" s="35"/>
      <c r="EX1" s="35"/>
      <c r="EY1" s="35"/>
      <c r="EZ1" s="38"/>
    </row>
    <row r="2" spans="1:156" ht="15.9" customHeight="1" x14ac:dyDescent="0.3">
      <c r="A2" s="39"/>
      <c r="B2" s="68" t="s">
        <v>58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  <c r="DQ2" s="68"/>
      <c r="DR2" s="68"/>
      <c r="DS2" s="68"/>
      <c r="DT2" s="68"/>
      <c r="DU2" s="68"/>
      <c r="DV2" s="68"/>
      <c r="DW2" s="68"/>
      <c r="DX2" s="68"/>
      <c r="DY2" s="68"/>
      <c r="DZ2" s="68"/>
      <c r="EA2" s="68"/>
      <c r="EB2" s="68"/>
      <c r="EC2" s="68"/>
      <c r="ED2" s="68"/>
      <c r="EE2" s="68"/>
      <c r="EF2" s="68"/>
      <c r="EG2" s="68"/>
      <c r="EH2" s="68"/>
      <c r="EI2" s="68"/>
      <c r="EJ2" s="68"/>
      <c r="EK2" s="68"/>
      <c r="EL2" s="68"/>
      <c r="EM2" s="68"/>
      <c r="EN2" s="68"/>
      <c r="EO2" s="68"/>
      <c r="EP2" s="68"/>
      <c r="EQ2" s="68"/>
      <c r="ER2" s="68"/>
      <c r="ES2" s="68"/>
      <c r="ET2" s="68"/>
      <c r="EU2" s="68"/>
      <c r="EV2" s="68"/>
      <c r="EW2" s="68"/>
      <c r="EX2" s="68"/>
      <c r="EY2" s="68"/>
      <c r="EZ2" s="40"/>
    </row>
    <row r="3" spans="1:156" ht="18.899999999999999" customHeight="1" x14ac:dyDescent="0.3">
      <c r="A3" s="39"/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68"/>
      <c r="BS3" s="68"/>
      <c r="BT3" s="68"/>
      <c r="BU3" s="68"/>
      <c r="BV3" s="68"/>
      <c r="BW3" s="68"/>
      <c r="BX3" s="68"/>
      <c r="BY3" s="68"/>
      <c r="BZ3" s="68"/>
      <c r="CA3" s="68"/>
      <c r="CB3" s="68"/>
      <c r="CC3" s="68"/>
      <c r="CD3" s="68"/>
      <c r="CE3" s="68"/>
      <c r="CF3" s="68"/>
      <c r="CG3" s="68"/>
      <c r="CH3" s="68"/>
      <c r="CI3" s="68"/>
      <c r="CJ3" s="68"/>
      <c r="CK3" s="68"/>
      <c r="CL3" s="68"/>
      <c r="CM3" s="68"/>
      <c r="CN3" s="68"/>
      <c r="CO3" s="68"/>
      <c r="CP3" s="68"/>
      <c r="CQ3" s="68"/>
      <c r="CR3" s="68"/>
      <c r="CS3" s="68"/>
      <c r="CT3" s="68"/>
      <c r="CU3" s="68"/>
      <c r="CV3" s="68"/>
      <c r="CW3" s="68"/>
      <c r="CX3" s="68"/>
      <c r="CY3" s="68"/>
      <c r="CZ3" s="68"/>
      <c r="DA3" s="68"/>
      <c r="DB3" s="68"/>
      <c r="DC3" s="68"/>
      <c r="DD3" s="68"/>
      <c r="DE3" s="68"/>
      <c r="DF3" s="68"/>
      <c r="DG3" s="68"/>
      <c r="DH3" s="68"/>
      <c r="DI3" s="68"/>
      <c r="DJ3" s="68"/>
      <c r="DK3" s="68"/>
      <c r="DL3" s="68"/>
      <c r="DM3" s="68"/>
      <c r="DN3" s="68"/>
      <c r="DO3" s="68"/>
      <c r="DP3" s="68"/>
      <c r="DQ3" s="68"/>
      <c r="DR3" s="68"/>
      <c r="DS3" s="68"/>
      <c r="DT3" s="68"/>
      <c r="DU3" s="68"/>
      <c r="DV3" s="68"/>
      <c r="DW3" s="68"/>
      <c r="DX3" s="68"/>
      <c r="DY3" s="68"/>
      <c r="DZ3" s="68"/>
      <c r="EA3" s="68"/>
      <c r="EB3" s="68"/>
      <c r="EC3" s="68"/>
      <c r="ED3" s="68"/>
      <c r="EE3" s="68"/>
      <c r="EF3" s="68"/>
      <c r="EG3" s="68"/>
      <c r="EH3" s="68"/>
      <c r="EI3" s="68"/>
      <c r="EJ3" s="68"/>
      <c r="EK3" s="68"/>
      <c r="EL3" s="68"/>
      <c r="EM3" s="68"/>
      <c r="EN3" s="68"/>
      <c r="EO3" s="68"/>
      <c r="EP3" s="68"/>
      <c r="EQ3" s="68"/>
      <c r="ER3" s="68"/>
      <c r="ES3" s="68"/>
      <c r="ET3" s="68"/>
      <c r="EU3" s="68"/>
      <c r="EV3" s="68"/>
      <c r="EW3" s="68"/>
      <c r="EX3" s="68"/>
      <c r="EY3" s="68"/>
      <c r="EZ3" s="40"/>
    </row>
    <row r="4" spans="1:156" ht="36" customHeight="1" x14ac:dyDescent="0.3">
      <c r="A4" s="39"/>
      <c r="B4" s="36" t="s">
        <v>59</v>
      </c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106" t="s">
        <v>60</v>
      </c>
      <c r="R4" s="107"/>
      <c r="S4" s="107"/>
      <c r="T4" s="107"/>
      <c r="U4" s="107"/>
      <c r="V4" s="107"/>
      <c r="W4" s="107"/>
      <c r="X4" s="107"/>
      <c r="Y4" s="107"/>
      <c r="Z4" s="108">
        <v>0</v>
      </c>
      <c r="AA4" s="109"/>
      <c r="AB4" s="109"/>
      <c r="AC4" s="109"/>
      <c r="AD4" s="109"/>
      <c r="AE4" s="109"/>
      <c r="AF4" s="109"/>
      <c r="AG4" s="109"/>
      <c r="AH4" s="109"/>
      <c r="AI4" s="109"/>
      <c r="AJ4" s="109"/>
      <c r="AK4" s="109"/>
      <c r="AL4" s="106" t="s">
        <v>61</v>
      </c>
      <c r="AM4" s="107"/>
      <c r="AN4" s="107"/>
      <c r="AO4" s="107"/>
      <c r="AP4" s="107"/>
      <c r="AQ4" s="107"/>
      <c r="AR4" s="107"/>
      <c r="AS4" s="107"/>
      <c r="AT4" s="107"/>
      <c r="AU4" s="108">
        <v>0</v>
      </c>
      <c r="AV4" s="108"/>
      <c r="AW4" s="108"/>
      <c r="AX4" s="108"/>
      <c r="AY4" s="108"/>
      <c r="AZ4" s="108"/>
      <c r="BA4" s="108"/>
      <c r="BB4" s="108"/>
      <c r="BC4" s="108"/>
      <c r="BD4" s="58"/>
      <c r="BE4" s="58"/>
      <c r="BF4" s="58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6"/>
      <c r="BZ4" s="36"/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6"/>
      <c r="CO4" s="36"/>
      <c r="CP4" s="36"/>
      <c r="CQ4" s="36"/>
      <c r="CR4" s="36"/>
      <c r="CS4" s="36"/>
      <c r="CT4" s="36"/>
      <c r="CU4" s="36"/>
      <c r="CV4" s="36"/>
      <c r="CW4" s="36"/>
      <c r="CX4" s="36"/>
      <c r="CY4" s="36"/>
      <c r="CZ4" s="36"/>
      <c r="DA4" s="36"/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6"/>
      <c r="DO4" s="36"/>
      <c r="DP4" s="36"/>
      <c r="DQ4" s="36"/>
      <c r="DR4" s="36"/>
      <c r="DS4" s="36"/>
      <c r="DT4" s="36"/>
      <c r="DU4" s="36"/>
      <c r="DV4" s="36"/>
      <c r="DW4" s="36"/>
      <c r="DX4" s="36"/>
      <c r="DY4" s="36"/>
      <c r="DZ4" s="36"/>
      <c r="EA4" s="36"/>
      <c r="EB4" s="36"/>
      <c r="EC4" s="36"/>
      <c r="ED4" s="36"/>
      <c r="EE4" s="36"/>
      <c r="EF4" s="36"/>
      <c r="EG4" s="36"/>
      <c r="EH4" s="36"/>
      <c r="EI4" s="36"/>
      <c r="EJ4" s="36"/>
      <c r="EK4" s="36"/>
      <c r="EL4" s="36"/>
      <c r="EM4" s="36"/>
      <c r="EN4" s="36"/>
      <c r="EO4" s="36"/>
      <c r="EP4" s="36"/>
      <c r="EQ4" s="36"/>
      <c r="ER4" s="36"/>
      <c r="ES4" s="36"/>
      <c r="ET4" s="36"/>
      <c r="EU4" s="36"/>
      <c r="EV4" s="36"/>
      <c r="EW4" s="36"/>
      <c r="EX4" s="36"/>
      <c r="EY4" s="36"/>
      <c r="EZ4" s="40"/>
    </row>
    <row r="5" spans="1:156" ht="15.6" x14ac:dyDescent="0.3">
      <c r="A5" s="39"/>
      <c r="B5" s="69" t="s">
        <v>62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0"/>
      <c r="AQ5" s="70"/>
      <c r="AR5" s="70"/>
      <c r="AS5" s="70"/>
      <c r="AT5" s="70"/>
      <c r="AU5" s="70"/>
      <c r="AV5" s="70"/>
      <c r="AW5" s="70"/>
      <c r="AX5" s="70"/>
      <c r="AY5" s="70"/>
      <c r="AZ5" s="70"/>
      <c r="BA5" s="71"/>
      <c r="BB5" s="72" t="s">
        <v>63</v>
      </c>
      <c r="BC5" s="73"/>
      <c r="BD5" s="73"/>
      <c r="BE5" s="73"/>
      <c r="BF5" s="73"/>
      <c r="BG5" s="73"/>
      <c r="BH5" s="73"/>
      <c r="BI5" s="73"/>
      <c r="BJ5" s="73"/>
      <c r="BK5" s="73"/>
      <c r="BL5" s="73"/>
      <c r="BM5" s="73"/>
      <c r="BN5" s="73"/>
      <c r="BO5" s="73"/>
      <c r="BP5" s="73"/>
      <c r="BQ5" s="73"/>
      <c r="BR5" s="73"/>
      <c r="BS5" s="73"/>
      <c r="BT5" s="73"/>
      <c r="BU5" s="73"/>
      <c r="BV5" s="73"/>
      <c r="BW5" s="73"/>
      <c r="BX5" s="73"/>
      <c r="BY5" s="73"/>
      <c r="BZ5" s="73"/>
      <c r="CA5" s="73"/>
      <c r="CB5" s="73"/>
      <c r="CC5" s="73"/>
      <c r="CD5" s="73"/>
      <c r="CE5" s="73"/>
      <c r="CF5" s="73"/>
      <c r="CG5" s="73"/>
      <c r="CH5" s="73"/>
      <c r="CI5" s="73"/>
      <c r="CJ5" s="73"/>
      <c r="CK5" s="73"/>
      <c r="CL5" s="73"/>
      <c r="CM5" s="73"/>
      <c r="CN5" s="73"/>
      <c r="CO5" s="73"/>
      <c r="CP5" s="73"/>
      <c r="CQ5" s="73"/>
      <c r="CR5" s="73"/>
      <c r="CS5" s="73"/>
      <c r="CT5" s="73"/>
      <c r="CU5" s="73"/>
      <c r="CV5" s="73"/>
      <c r="CW5" s="73"/>
      <c r="CX5" s="73"/>
      <c r="CY5" s="73"/>
      <c r="CZ5" s="73"/>
      <c r="DA5" s="73"/>
      <c r="DB5" s="73"/>
      <c r="DC5" s="73"/>
      <c r="DD5" s="73"/>
      <c r="DE5" s="73"/>
      <c r="DF5" s="73"/>
      <c r="DG5" s="73"/>
      <c r="DH5" s="73"/>
      <c r="DI5" s="74"/>
      <c r="DJ5" s="69" t="s">
        <v>64</v>
      </c>
      <c r="DK5" s="73"/>
      <c r="DL5" s="73"/>
      <c r="DM5" s="73"/>
      <c r="DN5" s="73"/>
      <c r="DO5" s="73"/>
      <c r="DP5" s="73"/>
      <c r="DQ5" s="73"/>
      <c r="DR5" s="73"/>
      <c r="DS5" s="73"/>
      <c r="DT5" s="73"/>
      <c r="DU5" s="73"/>
      <c r="DV5" s="73"/>
      <c r="DW5" s="73"/>
      <c r="DX5" s="73"/>
      <c r="DY5" s="73"/>
      <c r="DZ5" s="75"/>
      <c r="EA5" s="72" t="s">
        <v>65</v>
      </c>
      <c r="EB5" s="70"/>
      <c r="EC5" s="70"/>
      <c r="ED5" s="70"/>
      <c r="EE5" s="70"/>
      <c r="EF5" s="70"/>
      <c r="EG5" s="70"/>
      <c r="EH5" s="70"/>
      <c r="EI5" s="70"/>
      <c r="EJ5" s="70"/>
      <c r="EK5" s="70"/>
      <c r="EL5" s="70"/>
      <c r="EM5" s="70"/>
      <c r="EN5" s="70"/>
      <c r="EO5" s="70"/>
      <c r="EP5" s="70"/>
      <c r="EQ5" s="70"/>
      <c r="ER5" s="70"/>
      <c r="ES5" s="70"/>
      <c r="ET5" s="70"/>
      <c r="EU5" s="70"/>
      <c r="EV5" s="70"/>
      <c r="EW5" s="70"/>
      <c r="EX5" s="70"/>
      <c r="EY5" s="76"/>
      <c r="EZ5" s="40"/>
    </row>
    <row r="6" spans="1:156" ht="15.9" customHeight="1" x14ac:dyDescent="0.3">
      <c r="A6" s="39"/>
      <c r="B6" s="77"/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9"/>
      <c r="BB6" s="77" t="s">
        <v>54</v>
      </c>
      <c r="BC6" s="86"/>
      <c r="BD6" s="86"/>
      <c r="BE6" s="86"/>
      <c r="BF6" s="86"/>
      <c r="BG6" s="86"/>
      <c r="BH6" s="86"/>
      <c r="BI6" s="86"/>
      <c r="BJ6" s="86"/>
      <c r="BK6" s="86"/>
      <c r="BL6" s="86"/>
      <c r="BM6" s="86"/>
      <c r="BN6" s="86"/>
      <c r="BO6" s="86"/>
      <c r="BP6" s="86"/>
      <c r="BQ6" s="86"/>
      <c r="BR6" s="86"/>
      <c r="BS6" s="86"/>
      <c r="BT6" s="86"/>
      <c r="BU6" s="86"/>
      <c r="BV6" s="86"/>
      <c r="BW6" s="86"/>
      <c r="BX6" s="86"/>
      <c r="BY6" s="86"/>
      <c r="BZ6" s="86"/>
      <c r="CA6" s="86"/>
      <c r="CB6" s="86"/>
      <c r="CC6" s="86"/>
      <c r="CD6" s="86"/>
      <c r="CE6" s="86"/>
      <c r="CF6" s="86"/>
      <c r="CG6" s="86"/>
      <c r="CH6" s="86"/>
      <c r="CI6" s="86"/>
      <c r="CJ6" s="86"/>
      <c r="CK6" s="86"/>
      <c r="CL6" s="86"/>
      <c r="CM6" s="86"/>
      <c r="CN6" s="86"/>
      <c r="CO6" s="86"/>
      <c r="CP6" s="86"/>
      <c r="CQ6" s="86"/>
      <c r="CR6" s="86"/>
      <c r="CS6" s="86"/>
      <c r="CT6" s="86"/>
      <c r="CU6" s="86"/>
      <c r="CV6" s="86"/>
      <c r="CW6" s="86"/>
      <c r="CX6" s="86"/>
      <c r="CY6" s="86"/>
      <c r="CZ6" s="86"/>
      <c r="DA6" s="86"/>
      <c r="DB6" s="86"/>
      <c r="DC6" s="86"/>
      <c r="DD6" s="86"/>
      <c r="DE6" s="86"/>
      <c r="DF6" s="86"/>
      <c r="DG6" s="86"/>
      <c r="DH6" s="86"/>
      <c r="DI6" s="87"/>
      <c r="DJ6" s="97" t="s">
        <v>55</v>
      </c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9"/>
      <c r="EA6" s="94" t="s">
        <v>50</v>
      </c>
      <c r="EB6" s="86"/>
      <c r="EC6" s="86"/>
      <c r="ED6" s="86"/>
      <c r="EE6" s="86"/>
      <c r="EF6" s="86"/>
      <c r="EG6" s="86"/>
      <c r="EH6" s="86"/>
      <c r="EI6" s="86"/>
      <c r="EJ6" s="86"/>
      <c r="EK6" s="86"/>
      <c r="EL6" s="86"/>
      <c r="EM6" s="86"/>
      <c r="EN6" s="86"/>
      <c r="EO6" s="86"/>
      <c r="EP6" s="86"/>
      <c r="EQ6" s="86"/>
      <c r="ER6" s="86"/>
      <c r="ES6" s="86"/>
      <c r="ET6" s="86"/>
      <c r="EU6" s="86"/>
      <c r="EV6" s="86"/>
      <c r="EW6" s="86"/>
      <c r="EX6" s="86"/>
      <c r="EY6" s="87"/>
      <c r="EZ6" s="40"/>
    </row>
    <row r="7" spans="1:156" ht="15.9" customHeight="1" x14ac:dyDescent="0.3">
      <c r="A7" s="39"/>
      <c r="B7" s="80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8"/>
      <c r="BC7" s="89"/>
      <c r="BD7" s="89"/>
      <c r="BE7" s="89"/>
      <c r="BF7" s="89"/>
      <c r="BG7" s="89"/>
      <c r="BH7" s="89"/>
      <c r="BI7" s="89"/>
      <c r="BJ7" s="89"/>
      <c r="BK7" s="89"/>
      <c r="BL7" s="89"/>
      <c r="BM7" s="89"/>
      <c r="BN7" s="89"/>
      <c r="BO7" s="89"/>
      <c r="BP7" s="89"/>
      <c r="BQ7" s="89"/>
      <c r="BR7" s="89"/>
      <c r="BS7" s="89"/>
      <c r="BT7" s="89"/>
      <c r="BU7" s="89"/>
      <c r="BV7" s="89"/>
      <c r="BW7" s="89"/>
      <c r="BX7" s="89"/>
      <c r="BY7" s="89"/>
      <c r="BZ7" s="89"/>
      <c r="CA7" s="89"/>
      <c r="CB7" s="89"/>
      <c r="CC7" s="89"/>
      <c r="CD7" s="89"/>
      <c r="CE7" s="89"/>
      <c r="CF7" s="89"/>
      <c r="CG7" s="89"/>
      <c r="CH7" s="89"/>
      <c r="CI7" s="89"/>
      <c r="CJ7" s="89"/>
      <c r="CK7" s="89"/>
      <c r="CL7" s="89"/>
      <c r="CM7" s="89"/>
      <c r="CN7" s="89"/>
      <c r="CO7" s="89"/>
      <c r="CP7" s="89"/>
      <c r="CQ7" s="89"/>
      <c r="CR7" s="89"/>
      <c r="CS7" s="89"/>
      <c r="CT7" s="89"/>
      <c r="CU7" s="89"/>
      <c r="CV7" s="89"/>
      <c r="CW7" s="89"/>
      <c r="CX7" s="89"/>
      <c r="CY7" s="89"/>
      <c r="CZ7" s="89"/>
      <c r="DA7" s="89"/>
      <c r="DB7" s="89"/>
      <c r="DC7" s="89"/>
      <c r="DD7" s="89"/>
      <c r="DE7" s="89"/>
      <c r="DF7" s="89"/>
      <c r="DG7" s="89"/>
      <c r="DH7" s="89"/>
      <c r="DI7" s="90"/>
      <c r="DJ7" s="100"/>
      <c r="DK7" s="101"/>
      <c r="DL7" s="101"/>
      <c r="DM7" s="101"/>
      <c r="DN7" s="101"/>
      <c r="DO7" s="101"/>
      <c r="DP7" s="101"/>
      <c r="DQ7" s="101"/>
      <c r="DR7" s="101"/>
      <c r="DS7" s="101"/>
      <c r="DT7" s="101"/>
      <c r="DU7" s="101"/>
      <c r="DV7" s="101"/>
      <c r="DW7" s="101"/>
      <c r="DX7" s="101"/>
      <c r="DY7" s="101"/>
      <c r="DZ7" s="102"/>
      <c r="EA7" s="95"/>
      <c r="EB7" s="89"/>
      <c r="EC7" s="89"/>
      <c r="ED7" s="89"/>
      <c r="EE7" s="89"/>
      <c r="EF7" s="89"/>
      <c r="EG7" s="89"/>
      <c r="EH7" s="89"/>
      <c r="EI7" s="89"/>
      <c r="EJ7" s="89"/>
      <c r="EK7" s="89"/>
      <c r="EL7" s="89"/>
      <c r="EM7" s="89"/>
      <c r="EN7" s="89"/>
      <c r="EO7" s="89"/>
      <c r="EP7" s="89"/>
      <c r="EQ7" s="89"/>
      <c r="ER7" s="89"/>
      <c r="ES7" s="89"/>
      <c r="ET7" s="89"/>
      <c r="EU7" s="89"/>
      <c r="EV7" s="89"/>
      <c r="EW7" s="89"/>
      <c r="EX7" s="89"/>
      <c r="EY7" s="90"/>
      <c r="EZ7" s="40"/>
    </row>
    <row r="8" spans="1:156" ht="15.6" x14ac:dyDescent="0.3">
      <c r="A8" s="39"/>
      <c r="B8" s="80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2"/>
      <c r="BB8" s="88"/>
      <c r="BC8" s="89"/>
      <c r="BD8" s="89"/>
      <c r="BE8" s="89"/>
      <c r="BF8" s="89"/>
      <c r="BG8" s="89"/>
      <c r="BH8" s="89"/>
      <c r="BI8" s="89"/>
      <c r="BJ8" s="89"/>
      <c r="BK8" s="89"/>
      <c r="BL8" s="89"/>
      <c r="BM8" s="89"/>
      <c r="BN8" s="89"/>
      <c r="BO8" s="89"/>
      <c r="BP8" s="89"/>
      <c r="BQ8" s="89"/>
      <c r="BR8" s="89"/>
      <c r="BS8" s="89"/>
      <c r="BT8" s="89"/>
      <c r="BU8" s="89"/>
      <c r="BV8" s="89"/>
      <c r="BW8" s="89"/>
      <c r="BX8" s="89"/>
      <c r="BY8" s="89"/>
      <c r="BZ8" s="89"/>
      <c r="CA8" s="89"/>
      <c r="CB8" s="89"/>
      <c r="CC8" s="89"/>
      <c r="CD8" s="89"/>
      <c r="CE8" s="89"/>
      <c r="CF8" s="89"/>
      <c r="CG8" s="89"/>
      <c r="CH8" s="89"/>
      <c r="CI8" s="89"/>
      <c r="CJ8" s="89"/>
      <c r="CK8" s="89"/>
      <c r="CL8" s="89"/>
      <c r="CM8" s="89"/>
      <c r="CN8" s="89"/>
      <c r="CO8" s="89"/>
      <c r="CP8" s="89"/>
      <c r="CQ8" s="89"/>
      <c r="CR8" s="89"/>
      <c r="CS8" s="89"/>
      <c r="CT8" s="89"/>
      <c r="CU8" s="89"/>
      <c r="CV8" s="89"/>
      <c r="CW8" s="89"/>
      <c r="CX8" s="89"/>
      <c r="CY8" s="89"/>
      <c r="CZ8" s="89"/>
      <c r="DA8" s="89"/>
      <c r="DB8" s="89"/>
      <c r="DC8" s="89"/>
      <c r="DD8" s="89"/>
      <c r="DE8" s="89"/>
      <c r="DF8" s="89"/>
      <c r="DG8" s="89"/>
      <c r="DH8" s="89"/>
      <c r="DI8" s="90"/>
      <c r="DJ8" s="100"/>
      <c r="DK8" s="101"/>
      <c r="DL8" s="101"/>
      <c r="DM8" s="101"/>
      <c r="DN8" s="101"/>
      <c r="DO8" s="101"/>
      <c r="DP8" s="101"/>
      <c r="DQ8" s="101"/>
      <c r="DR8" s="101"/>
      <c r="DS8" s="101"/>
      <c r="DT8" s="101"/>
      <c r="DU8" s="101"/>
      <c r="DV8" s="101"/>
      <c r="DW8" s="101"/>
      <c r="DX8" s="101"/>
      <c r="DY8" s="101"/>
      <c r="DZ8" s="102"/>
      <c r="EA8" s="95"/>
      <c r="EB8" s="89"/>
      <c r="EC8" s="89"/>
      <c r="ED8" s="89"/>
      <c r="EE8" s="89"/>
      <c r="EF8" s="89"/>
      <c r="EG8" s="89"/>
      <c r="EH8" s="89"/>
      <c r="EI8" s="89"/>
      <c r="EJ8" s="89"/>
      <c r="EK8" s="89"/>
      <c r="EL8" s="89"/>
      <c r="EM8" s="89"/>
      <c r="EN8" s="89"/>
      <c r="EO8" s="89"/>
      <c r="EP8" s="89"/>
      <c r="EQ8" s="89"/>
      <c r="ER8" s="89"/>
      <c r="ES8" s="89"/>
      <c r="ET8" s="89"/>
      <c r="EU8" s="89"/>
      <c r="EV8" s="89"/>
      <c r="EW8" s="89"/>
      <c r="EX8" s="89"/>
      <c r="EY8" s="90"/>
      <c r="EZ8" s="40"/>
    </row>
    <row r="9" spans="1:156" ht="15.6" x14ac:dyDescent="0.3">
      <c r="A9" s="39"/>
      <c r="B9" s="80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2"/>
      <c r="BB9" s="88"/>
      <c r="BC9" s="89"/>
      <c r="BD9" s="89"/>
      <c r="BE9" s="89"/>
      <c r="BF9" s="89"/>
      <c r="BG9" s="89"/>
      <c r="BH9" s="89"/>
      <c r="BI9" s="89"/>
      <c r="BJ9" s="89"/>
      <c r="BK9" s="89"/>
      <c r="BL9" s="89"/>
      <c r="BM9" s="89"/>
      <c r="BN9" s="89"/>
      <c r="BO9" s="89"/>
      <c r="BP9" s="89"/>
      <c r="BQ9" s="89"/>
      <c r="BR9" s="89"/>
      <c r="BS9" s="89"/>
      <c r="BT9" s="89"/>
      <c r="BU9" s="89"/>
      <c r="BV9" s="89"/>
      <c r="BW9" s="89"/>
      <c r="BX9" s="89"/>
      <c r="BY9" s="89"/>
      <c r="BZ9" s="89"/>
      <c r="CA9" s="89"/>
      <c r="CB9" s="89"/>
      <c r="CC9" s="89"/>
      <c r="CD9" s="89"/>
      <c r="CE9" s="89"/>
      <c r="CF9" s="89"/>
      <c r="CG9" s="89"/>
      <c r="CH9" s="89"/>
      <c r="CI9" s="89"/>
      <c r="CJ9" s="89"/>
      <c r="CK9" s="89"/>
      <c r="CL9" s="89"/>
      <c r="CM9" s="89"/>
      <c r="CN9" s="89"/>
      <c r="CO9" s="89"/>
      <c r="CP9" s="89"/>
      <c r="CQ9" s="89"/>
      <c r="CR9" s="89"/>
      <c r="CS9" s="89"/>
      <c r="CT9" s="89"/>
      <c r="CU9" s="89"/>
      <c r="CV9" s="89"/>
      <c r="CW9" s="89"/>
      <c r="CX9" s="89"/>
      <c r="CY9" s="89"/>
      <c r="CZ9" s="89"/>
      <c r="DA9" s="89"/>
      <c r="DB9" s="89"/>
      <c r="DC9" s="89"/>
      <c r="DD9" s="89"/>
      <c r="DE9" s="89"/>
      <c r="DF9" s="89"/>
      <c r="DG9" s="89"/>
      <c r="DH9" s="89"/>
      <c r="DI9" s="90"/>
      <c r="DJ9" s="100"/>
      <c r="DK9" s="101"/>
      <c r="DL9" s="101"/>
      <c r="DM9" s="101"/>
      <c r="DN9" s="101"/>
      <c r="DO9" s="101"/>
      <c r="DP9" s="101"/>
      <c r="DQ9" s="101"/>
      <c r="DR9" s="101"/>
      <c r="DS9" s="101"/>
      <c r="DT9" s="101"/>
      <c r="DU9" s="101"/>
      <c r="DV9" s="101"/>
      <c r="DW9" s="101"/>
      <c r="DX9" s="101"/>
      <c r="DY9" s="101"/>
      <c r="DZ9" s="102"/>
      <c r="EA9" s="95"/>
      <c r="EB9" s="89"/>
      <c r="EC9" s="89"/>
      <c r="ED9" s="89"/>
      <c r="EE9" s="89"/>
      <c r="EF9" s="89"/>
      <c r="EG9" s="89"/>
      <c r="EH9" s="89"/>
      <c r="EI9" s="89"/>
      <c r="EJ9" s="89"/>
      <c r="EK9" s="89"/>
      <c r="EL9" s="89"/>
      <c r="EM9" s="89"/>
      <c r="EN9" s="89"/>
      <c r="EO9" s="89"/>
      <c r="EP9" s="89"/>
      <c r="EQ9" s="89"/>
      <c r="ER9" s="89"/>
      <c r="ES9" s="89"/>
      <c r="ET9" s="89"/>
      <c r="EU9" s="89"/>
      <c r="EV9" s="89"/>
      <c r="EW9" s="89"/>
      <c r="EX9" s="89"/>
      <c r="EY9" s="90"/>
      <c r="EZ9" s="40"/>
    </row>
    <row r="10" spans="1:156" ht="15.6" x14ac:dyDescent="0.3">
      <c r="A10" s="39"/>
      <c r="B10" s="80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2"/>
      <c r="BB10" s="88"/>
      <c r="BC10" s="89"/>
      <c r="BD10" s="89"/>
      <c r="BE10" s="89"/>
      <c r="BF10" s="89"/>
      <c r="BG10" s="89"/>
      <c r="BH10" s="89"/>
      <c r="BI10" s="89"/>
      <c r="BJ10" s="89"/>
      <c r="BK10" s="89"/>
      <c r="BL10" s="89"/>
      <c r="BM10" s="89"/>
      <c r="BN10" s="89"/>
      <c r="BO10" s="89"/>
      <c r="BP10" s="89"/>
      <c r="BQ10" s="89"/>
      <c r="BR10" s="89"/>
      <c r="BS10" s="89"/>
      <c r="BT10" s="89"/>
      <c r="BU10" s="89"/>
      <c r="BV10" s="89"/>
      <c r="BW10" s="89"/>
      <c r="BX10" s="89"/>
      <c r="BY10" s="89"/>
      <c r="BZ10" s="89"/>
      <c r="CA10" s="89"/>
      <c r="CB10" s="89"/>
      <c r="CC10" s="89"/>
      <c r="CD10" s="89"/>
      <c r="CE10" s="89"/>
      <c r="CF10" s="89"/>
      <c r="CG10" s="89"/>
      <c r="CH10" s="89"/>
      <c r="CI10" s="89"/>
      <c r="CJ10" s="89"/>
      <c r="CK10" s="89"/>
      <c r="CL10" s="89"/>
      <c r="CM10" s="89"/>
      <c r="CN10" s="89"/>
      <c r="CO10" s="89"/>
      <c r="CP10" s="89"/>
      <c r="CQ10" s="89"/>
      <c r="CR10" s="89"/>
      <c r="CS10" s="89"/>
      <c r="CT10" s="89"/>
      <c r="CU10" s="89"/>
      <c r="CV10" s="89"/>
      <c r="CW10" s="89"/>
      <c r="CX10" s="89"/>
      <c r="CY10" s="89"/>
      <c r="CZ10" s="89"/>
      <c r="DA10" s="89"/>
      <c r="DB10" s="89"/>
      <c r="DC10" s="89"/>
      <c r="DD10" s="89"/>
      <c r="DE10" s="89"/>
      <c r="DF10" s="89"/>
      <c r="DG10" s="89"/>
      <c r="DH10" s="89"/>
      <c r="DI10" s="90"/>
      <c r="DJ10" s="100"/>
      <c r="DK10" s="101"/>
      <c r="DL10" s="101"/>
      <c r="DM10" s="101"/>
      <c r="DN10" s="101"/>
      <c r="DO10" s="101"/>
      <c r="DP10" s="101"/>
      <c r="DQ10" s="101"/>
      <c r="DR10" s="101"/>
      <c r="DS10" s="101"/>
      <c r="DT10" s="101"/>
      <c r="DU10" s="101"/>
      <c r="DV10" s="101"/>
      <c r="DW10" s="101"/>
      <c r="DX10" s="101"/>
      <c r="DY10" s="101"/>
      <c r="DZ10" s="102"/>
      <c r="EA10" s="95"/>
      <c r="EB10" s="89"/>
      <c r="EC10" s="89"/>
      <c r="ED10" s="89"/>
      <c r="EE10" s="89"/>
      <c r="EF10" s="89"/>
      <c r="EG10" s="89"/>
      <c r="EH10" s="89"/>
      <c r="EI10" s="89"/>
      <c r="EJ10" s="89"/>
      <c r="EK10" s="89"/>
      <c r="EL10" s="89"/>
      <c r="EM10" s="89"/>
      <c r="EN10" s="89"/>
      <c r="EO10" s="89"/>
      <c r="EP10" s="89"/>
      <c r="EQ10" s="89"/>
      <c r="ER10" s="89"/>
      <c r="ES10" s="89"/>
      <c r="ET10" s="89"/>
      <c r="EU10" s="89"/>
      <c r="EV10" s="89"/>
      <c r="EW10" s="89"/>
      <c r="EX10" s="89"/>
      <c r="EY10" s="90"/>
      <c r="EZ10" s="40"/>
    </row>
    <row r="11" spans="1:156" ht="15.6" x14ac:dyDescent="0.3">
      <c r="A11" s="39"/>
      <c r="B11" s="83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5"/>
      <c r="BB11" s="91"/>
      <c r="BC11" s="92"/>
      <c r="BD11" s="92"/>
      <c r="BE11" s="92"/>
      <c r="BF11" s="92"/>
      <c r="BG11" s="92"/>
      <c r="BH11" s="92"/>
      <c r="BI11" s="92"/>
      <c r="BJ11" s="92"/>
      <c r="BK11" s="92"/>
      <c r="BL11" s="92"/>
      <c r="BM11" s="92"/>
      <c r="BN11" s="92"/>
      <c r="BO11" s="92"/>
      <c r="BP11" s="92"/>
      <c r="BQ11" s="92"/>
      <c r="BR11" s="92"/>
      <c r="BS11" s="92"/>
      <c r="BT11" s="92"/>
      <c r="BU11" s="92"/>
      <c r="BV11" s="92"/>
      <c r="BW11" s="92"/>
      <c r="BX11" s="92"/>
      <c r="BY11" s="92"/>
      <c r="BZ11" s="92"/>
      <c r="CA11" s="92"/>
      <c r="CB11" s="92"/>
      <c r="CC11" s="92"/>
      <c r="CD11" s="92"/>
      <c r="CE11" s="92"/>
      <c r="CF11" s="92"/>
      <c r="CG11" s="92"/>
      <c r="CH11" s="92"/>
      <c r="CI11" s="92"/>
      <c r="CJ11" s="92"/>
      <c r="CK11" s="92"/>
      <c r="CL11" s="92"/>
      <c r="CM11" s="92"/>
      <c r="CN11" s="92"/>
      <c r="CO11" s="92"/>
      <c r="CP11" s="92"/>
      <c r="CQ11" s="92"/>
      <c r="CR11" s="92"/>
      <c r="CS11" s="92"/>
      <c r="CT11" s="92"/>
      <c r="CU11" s="92"/>
      <c r="CV11" s="92"/>
      <c r="CW11" s="92"/>
      <c r="CX11" s="92"/>
      <c r="CY11" s="92"/>
      <c r="CZ11" s="92"/>
      <c r="DA11" s="92"/>
      <c r="DB11" s="92"/>
      <c r="DC11" s="92"/>
      <c r="DD11" s="92"/>
      <c r="DE11" s="92"/>
      <c r="DF11" s="92"/>
      <c r="DG11" s="92"/>
      <c r="DH11" s="92"/>
      <c r="DI11" s="93"/>
      <c r="DJ11" s="103"/>
      <c r="DK11" s="104"/>
      <c r="DL11" s="104"/>
      <c r="DM11" s="104"/>
      <c r="DN11" s="104"/>
      <c r="DO11" s="104"/>
      <c r="DP11" s="104"/>
      <c r="DQ11" s="104"/>
      <c r="DR11" s="104"/>
      <c r="DS11" s="104"/>
      <c r="DT11" s="104"/>
      <c r="DU11" s="104"/>
      <c r="DV11" s="104"/>
      <c r="DW11" s="104"/>
      <c r="DX11" s="104"/>
      <c r="DY11" s="104"/>
      <c r="DZ11" s="105"/>
      <c r="EA11" s="96"/>
      <c r="EB11" s="92"/>
      <c r="EC11" s="92"/>
      <c r="ED11" s="92"/>
      <c r="EE11" s="92"/>
      <c r="EF11" s="92"/>
      <c r="EG11" s="92"/>
      <c r="EH11" s="92"/>
      <c r="EI11" s="92"/>
      <c r="EJ11" s="92"/>
      <c r="EK11" s="92"/>
      <c r="EL11" s="92"/>
      <c r="EM11" s="92"/>
      <c r="EN11" s="92"/>
      <c r="EO11" s="92"/>
      <c r="EP11" s="92"/>
      <c r="EQ11" s="92"/>
      <c r="ER11" s="92"/>
      <c r="ES11" s="92"/>
      <c r="ET11" s="92"/>
      <c r="EU11" s="92"/>
      <c r="EV11" s="92"/>
      <c r="EW11" s="92"/>
      <c r="EX11" s="92"/>
      <c r="EY11" s="93"/>
      <c r="EZ11" s="40"/>
    </row>
    <row r="12" spans="1:156" ht="15.6" x14ac:dyDescent="0.3">
      <c r="A12" s="39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40"/>
    </row>
    <row r="13" spans="1:156" ht="15.9" customHeight="1" x14ac:dyDescent="0.3">
      <c r="A13" s="39"/>
      <c r="B13" s="110" t="s">
        <v>66</v>
      </c>
      <c r="C13" s="111"/>
      <c r="D13" s="111"/>
      <c r="E13" s="111"/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11"/>
      <c r="AP13" s="111"/>
      <c r="AQ13" s="111"/>
      <c r="AR13" s="111"/>
      <c r="AS13" s="111"/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111"/>
      <c r="BE13" s="111"/>
      <c r="BF13" s="111"/>
      <c r="BG13" s="111"/>
      <c r="BH13" s="111"/>
      <c r="BI13" s="111"/>
      <c r="BJ13" s="111"/>
      <c r="BK13" s="111"/>
      <c r="BL13" s="111"/>
      <c r="BM13" s="111"/>
      <c r="BN13" s="111"/>
      <c r="BO13" s="111"/>
      <c r="BP13" s="111"/>
      <c r="BQ13" s="111"/>
      <c r="BR13" s="111"/>
      <c r="BS13" s="111"/>
      <c r="BT13" s="111"/>
      <c r="BU13" s="111"/>
      <c r="BV13" s="111"/>
      <c r="BW13" s="111"/>
      <c r="BX13" s="111"/>
      <c r="BY13" s="111"/>
      <c r="BZ13" s="72"/>
      <c r="CA13" s="112" t="s">
        <v>67</v>
      </c>
      <c r="CB13" s="113"/>
      <c r="CC13" s="113"/>
      <c r="CD13" s="113"/>
      <c r="CE13" s="113"/>
      <c r="CF13" s="113"/>
      <c r="CG13" s="113"/>
      <c r="CH13" s="113"/>
      <c r="CI13" s="113"/>
      <c r="CJ13" s="113"/>
      <c r="CK13" s="113"/>
      <c r="CL13" s="113"/>
      <c r="CM13" s="113"/>
      <c r="CN13" s="113"/>
      <c r="CO13" s="113"/>
      <c r="CP13" s="113"/>
      <c r="CQ13" s="113"/>
      <c r="CR13" s="113"/>
      <c r="CS13" s="113"/>
      <c r="CT13" s="113"/>
      <c r="CU13" s="113"/>
      <c r="CV13" s="113"/>
      <c r="CW13" s="113"/>
      <c r="CX13" s="113"/>
      <c r="CY13" s="113"/>
      <c r="CZ13" s="113"/>
      <c r="DA13" s="113"/>
      <c r="DB13" s="113"/>
      <c r="DC13" s="113"/>
      <c r="DD13" s="113"/>
      <c r="DE13" s="113"/>
      <c r="DF13" s="113"/>
      <c r="DG13" s="113"/>
      <c r="DH13" s="113"/>
      <c r="DI13" s="113"/>
      <c r="DJ13" s="113"/>
      <c r="DK13" s="113"/>
      <c r="DL13" s="113"/>
      <c r="DM13" s="113"/>
      <c r="DN13" s="113"/>
      <c r="DO13" s="113"/>
      <c r="DP13" s="113"/>
      <c r="DQ13" s="113"/>
      <c r="DR13" s="113"/>
      <c r="DS13" s="113"/>
      <c r="DT13" s="113"/>
      <c r="DU13" s="113"/>
      <c r="DV13" s="113"/>
      <c r="DW13" s="113"/>
      <c r="DX13" s="113"/>
      <c r="DY13" s="113"/>
      <c r="DZ13" s="114"/>
      <c r="EA13" s="112" t="s">
        <v>68</v>
      </c>
      <c r="EB13" s="113"/>
      <c r="EC13" s="113"/>
      <c r="ED13" s="113"/>
      <c r="EE13" s="113"/>
      <c r="EF13" s="113"/>
      <c r="EG13" s="113"/>
      <c r="EH13" s="113"/>
      <c r="EI13" s="113"/>
      <c r="EJ13" s="113"/>
      <c r="EK13" s="113"/>
      <c r="EL13" s="113"/>
      <c r="EM13" s="113"/>
      <c r="EN13" s="113"/>
      <c r="EO13" s="113"/>
      <c r="EP13" s="113"/>
      <c r="EQ13" s="113"/>
      <c r="ER13" s="113"/>
      <c r="ES13" s="113"/>
      <c r="ET13" s="113"/>
      <c r="EU13" s="113"/>
      <c r="EV13" s="113"/>
      <c r="EW13" s="113"/>
      <c r="EX13" s="113"/>
      <c r="EY13" s="114"/>
      <c r="EZ13" s="40"/>
    </row>
    <row r="14" spans="1:156" ht="15.9" customHeight="1" x14ac:dyDescent="0.3">
      <c r="A14" s="39"/>
      <c r="B14" s="115"/>
      <c r="C14" s="116"/>
      <c r="D14" s="116"/>
      <c r="E14" s="116"/>
      <c r="F14" s="116"/>
      <c r="G14" s="116"/>
      <c r="H14" s="116"/>
      <c r="I14" s="116"/>
      <c r="J14" s="116"/>
      <c r="K14" s="116"/>
      <c r="L14" s="116"/>
      <c r="M14" s="116"/>
      <c r="N14" s="116"/>
      <c r="O14" s="116"/>
      <c r="P14" s="116"/>
      <c r="Q14" s="116"/>
      <c r="R14" s="116"/>
      <c r="S14" s="116"/>
      <c r="T14" s="116"/>
      <c r="U14" s="116"/>
      <c r="V14" s="116"/>
      <c r="W14" s="116"/>
      <c r="X14" s="116"/>
      <c r="Y14" s="116"/>
      <c r="Z14" s="116"/>
      <c r="AA14" s="116"/>
      <c r="AB14" s="116"/>
      <c r="AC14" s="116"/>
      <c r="AD14" s="116"/>
      <c r="AE14" s="116"/>
      <c r="AF14" s="116"/>
      <c r="AG14" s="116"/>
      <c r="AH14" s="116"/>
      <c r="AI14" s="116"/>
      <c r="AJ14" s="116"/>
      <c r="AK14" s="116"/>
      <c r="AL14" s="116"/>
      <c r="AM14" s="116"/>
      <c r="AN14" s="116"/>
      <c r="AO14" s="116"/>
      <c r="AP14" s="116"/>
      <c r="AQ14" s="116"/>
      <c r="AR14" s="116"/>
      <c r="AS14" s="116"/>
      <c r="AT14" s="116"/>
      <c r="AU14" s="116"/>
      <c r="AV14" s="116"/>
      <c r="AW14" s="116"/>
      <c r="AX14" s="116"/>
      <c r="AY14" s="116"/>
      <c r="AZ14" s="116"/>
      <c r="BA14" s="116"/>
      <c r="BB14" s="116"/>
      <c r="BC14" s="116"/>
      <c r="BD14" s="116"/>
      <c r="BE14" s="116"/>
      <c r="BF14" s="116"/>
      <c r="BG14" s="116"/>
      <c r="BH14" s="116"/>
      <c r="BI14" s="116"/>
      <c r="BJ14" s="116"/>
      <c r="BK14" s="116"/>
      <c r="BL14" s="116"/>
      <c r="BM14" s="116"/>
      <c r="BN14" s="116"/>
      <c r="BO14" s="116"/>
      <c r="BP14" s="116"/>
      <c r="BQ14" s="116"/>
      <c r="BR14" s="116"/>
      <c r="BS14" s="116"/>
      <c r="BT14" s="116"/>
      <c r="BU14" s="116"/>
      <c r="BV14" s="116"/>
      <c r="BW14" s="116"/>
      <c r="BX14" s="116"/>
      <c r="BY14" s="116"/>
      <c r="BZ14" s="117"/>
      <c r="CA14" s="77"/>
      <c r="CB14" s="86"/>
      <c r="CC14" s="86"/>
      <c r="CD14" s="86"/>
      <c r="CE14" s="86"/>
      <c r="CF14" s="86"/>
      <c r="CG14" s="86"/>
      <c r="CH14" s="86"/>
      <c r="CI14" s="86"/>
      <c r="CJ14" s="86"/>
      <c r="CK14" s="86"/>
      <c r="CL14" s="86"/>
      <c r="CM14" s="86"/>
      <c r="CN14" s="86"/>
      <c r="CO14" s="86"/>
      <c r="CP14" s="86"/>
      <c r="CQ14" s="86"/>
      <c r="CR14" s="86"/>
      <c r="CS14" s="86"/>
      <c r="CT14" s="86"/>
      <c r="CU14" s="86"/>
      <c r="CV14" s="86"/>
      <c r="CW14" s="86"/>
      <c r="CX14" s="86"/>
      <c r="CY14" s="86"/>
      <c r="CZ14" s="86"/>
      <c r="DA14" s="86"/>
      <c r="DB14" s="86"/>
      <c r="DC14" s="86"/>
      <c r="DD14" s="86"/>
      <c r="DE14" s="86"/>
      <c r="DF14" s="86"/>
      <c r="DG14" s="86"/>
      <c r="DH14" s="86"/>
      <c r="DI14" s="86"/>
      <c r="DJ14" s="86"/>
      <c r="DK14" s="86"/>
      <c r="DL14" s="86"/>
      <c r="DM14" s="86"/>
      <c r="DN14" s="86"/>
      <c r="DO14" s="86"/>
      <c r="DP14" s="86"/>
      <c r="DQ14" s="86"/>
      <c r="DR14" s="86"/>
      <c r="DS14" s="86"/>
      <c r="DT14" s="86"/>
      <c r="DU14" s="86"/>
      <c r="DV14" s="86"/>
      <c r="DW14" s="86"/>
      <c r="DX14" s="86"/>
      <c r="DY14" s="86"/>
      <c r="DZ14" s="87"/>
      <c r="EA14" s="77" t="s">
        <v>47</v>
      </c>
      <c r="EB14" s="86"/>
      <c r="EC14" s="86"/>
      <c r="ED14" s="86"/>
      <c r="EE14" s="86"/>
      <c r="EF14" s="86"/>
      <c r="EG14" s="86"/>
      <c r="EH14" s="86"/>
      <c r="EI14" s="86"/>
      <c r="EJ14" s="86"/>
      <c r="EK14" s="86"/>
      <c r="EL14" s="86"/>
      <c r="EM14" s="86"/>
      <c r="EN14" s="86"/>
      <c r="EO14" s="86"/>
      <c r="EP14" s="86"/>
      <c r="EQ14" s="86"/>
      <c r="ER14" s="86"/>
      <c r="ES14" s="86"/>
      <c r="ET14" s="86"/>
      <c r="EU14" s="86"/>
      <c r="EV14" s="86"/>
      <c r="EW14" s="86"/>
      <c r="EX14" s="86"/>
      <c r="EY14" s="87"/>
      <c r="EZ14" s="40"/>
    </row>
    <row r="15" spans="1:156" ht="15.6" x14ac:dyDescent="0.3">
      <c r="A15" s="39"/>
      <c r="B15" s="118"/>
      <c r="C15" s="119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19"/>
      <c r="BQ15" s="119"/>
      <c r="BR15" s="119"/>
      <c r="BS15" s="119"/>
      <c r="BT15" s="119"/>
      <c r="BU15" s="119"/>
      <c r="BV15" s="119"/>
      <c r="BW15" s="119"/>
      <c r="BX15" s="119"/>
      <c r="BY15" s="119"/>
      <c r="BZ15" s="120"/>
      <c r="CA15" s="124"/>
      <c r="CB15" s="125"/>
      <c r="CC15" s="125"/>
      <c r="CD15" s="125"/>
      <c r="CE15" s="125"/>
      <c r="CF15" s="125"/>
      <c r="CG15" s="125"/>
      <c r="CH15" s="125"/>
      <c r="CI15" s="125"/>
      <c r="CJ15" s="125"/>
      <c r="CK15" s="125"/>
      <c r="CL15" s="125"/>
      <c r="CM15" s="125"/>
      <c r="CN15" s="125"/>
      <c r="CO15" s="125"/>
      <c r="CP15" s="125"/>
      <c r="CQ15" s="125"/>
      <c r="CR15" s="125"/>
      <c r="CS15" s="125"/>
      <c r="CT15" s="125"/>
      <c r="CU15" s="125"/>
      <c r="CV15" s="125"/>
      <c r="CW15" s="125"/>
      <c r="CX15" s="125"/>
      <c r="CY15" s="125"/>
      <c r="CZ15" s="125"/>
      <c r="DA15" s="125"/>
      <c r="DB15" s="125"/>
      <c r="DC15" s="125"/>
      <c r="DD15" s="125"/>
      <c r="DE15" s="125"/>
      <c r="DF15" s="125"/>
      <c r="DG15" s="125"/>
      <c r="DH15" s="125"/>
      <c r="DI15" s="125"/>
      <c r="DJ15" s="125"/>
      <c r="DK15" s="125"/>
      <c r="DL15" s="125"/>
      <c r="DM15" s="125"/>
      <c r="DN15" s="125"/>
      <c r="DO15" s="125"/>
      <c r="DP15" s="125"/>
      <c r="DQ15" s="125"/>
      <c r="DR15" s="125"/>
      <c r="DS15" s="125"/>
      <c r="DT15" s="125"/>
      <c r="DU15" s="125"/>
      <c r="DV15" s="125"/>
      <c r="DW15" s="125"/>
      <c r="DX15" s="125"/>
      <c r="DY15" s="125"/>
      <c r="DZ15" s="126"/>
      <c r="EA15" s="88"/>
      <c r="EB15" s="89"/>
      <c r="EC15" s="89"/>
      <c r="ED15" s="89"/>
      <c r="EE15" s="89"/>
      <c r="EF15" s="89"/>
      <c r="EG15" s="89"/>
      <c r="EH15" s="89"/>
      <c r="EI15" s="89"/>
      <c r="EJ15" s="89"/>
      <c r="EK15" s="89"/>
      <c r="EL15" s="89"/>
      <c r="EM15" s="89"/>
      <c r="EN15" s="89"/>
      <c r="EO15" s="89"/>
      <c r="EP15" s="89"/>
      <c r="EQ15" s="89"/>
      <c r="ER15" s="89"/>
      <c r="ES15" s="89"/>
      <c r="ET15" s="89"/>
      <c r="EU15" s="89"/>
      <c r="EV15" s="89"/>
      <c r="EW15" s="89"/>
      <c r="EX15" s="89"/>
      <c r="EY15" s="90"/>
      <c r="EZ15" s="40"/>
    </row>
    <row r="16" spans="1:156" ht="15.6" x14ac:dyDescent="0.3">
      <c r="A16" s="39"/>
      <c r="B16" s="118"/>
      <c r="C16" s="119"/>
      <c r="D16" s="119"/>
      <c r="E16" s="119"/>
      <c r="F16" s="119"/>
      <c r="G16" s="119"/>
      <c r="H16" s="119"/>
      <c r="I16" s="119"/>
      <c r="J16" s="119"/>
      <c r="K16" s="119"/>
      <c r="L16" s="119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119"/>
      <c r="AL16" s="119"/>
      <c r="AM16" s="119"/>
      <c r="AN16" s="119"/>
      <c r="AO16" s="119"/>
      <c r="AP16" s="119"/>
      <c r="AQ16" s="119"/>
      <c r="AR16" s="119"/>
      <c r="AS16" s="119"/>
      <c r="AT16" s="119"/>
      <c r="AU16" s="119"/>
      <c r="AV16" s="119"/>
      <c r="AW16" s="119"/>
      <c r="AX16" s="119"/>
      <c r="AY16" s="119"/>
      <c r="AZ16" s="119"/>
      <c r="BA16" s="119"/>
      <c r="BB16" s="119"/>
      <c r="BC16" s="119"/>
      <c r="BD16" s="119"/>
      <c r="BE16" s="119"/>
      <c r="BF16" s="119"/>
      <c r="BG16" s="119"/>
      <c r="BH16" s="119"/>
      <c r="BI16" s="119"/>
      <c r="BJ16" s="119"/>
      <c r="BK16" s="119"/>
      <c r="BL16" s="119"/>
      <c r="BM16" s="119"/>
      <c r="BN16" s="119"/>
      <c r="BO16" s="119"/>
      <c r="BP16" s="119"/>
      <c r="BQ16" s="119"/>
      <c r="BR16" s="119"/>
      <c r="BS16" s="119"/>
      <c r="BT16" s="119"/>
      <c r="BU16" s="119"/>
      <c r="BV16" s="119"/>
      <c r="BW16" s="119"/>
      <c r="BX16" s="119"/>
      <c r="BY16" s="119"/>
      <c r="BZ16" s="120"/>
      <c r="CA16" s="124"/>
      <c r="CB16" s="125"/>
      <c r="CC16" s="125"/>
      <c r="CD16" s="125"/>
      <c r="CE16" s="125"/>
      <c r="CF16" s="125"/>
      <c r="CG16" s="125"/>
      <c r="CH16" s="125"/>
      <c r="CI16" s="125"/>
      <c r="CJ16" s="125"/>
      <c r="CK16" s="125"/>
      <c r="CL16" s="125"/>
      <c r="CM16" s="125"/>
      <c r="CN16" s="125"/>
      <c r="CO16" s="125"/>
      <c r="CP16" s="125"/>
      <c r="CQ16" s="125"/>
      <c r="CR16" s="125"/>
      <c r="CS16" s="125"/>
      <c r="CT16" s="125"/>
      <c r="CU16" s="125"/>
      <c r="CV16" s="125"/>
      <c r="CW16" s="125"/>
      <c r="CX16" s="125"/>
      <c r="CY16" s="125"/>
      <c r="CZ16" s="125"/>
      <c r="DA16" s="125"/>
      <c r="DB16" s="125"/>
      <c r="DC16" s="125"/>
      <c r="DD16" s="125"/>
      <c r="DE16" s="125"/>
      <c r="DF16" s="125"/>
      <c r="DG16" s="125"/>
      <c r="DH16" s="125"/>
      <c r="DI16" s="125"/>
      <c r="DJ16" s="125"/>
      <c r="DK16" s="125"/>
      <c r="DL16" s="125"/>
      <c r="DM16" s="125"/>
      <c r="DN16" s="125"/>
      <c r="DO16" s="125"/>
      <c r="DP16" s="125"/>
      <c r="DQ16" s="125"/>
      <c r="DR16" s="125"/>
      <c r="DS16" s="125"/>
      <c r="DT16" s="125"/>
      <c r="DU16" s="125"/>
      <c r="DV16" s="125"/>
      <c r="DW16" s="125"/>
      <c r="DX16" s="125"/>
      <c r="DY16" s="125"/>
      <c r="DZ16" s="126"/>
      <c r="EA16" s="88"/>
      <c r="EB16" s="89"/>
      <c r="EC16" s="89"/>
      <c r="ED16" s="89"/>
      <c r="EE16" s="89"/>
      <c r="EF16" s="89"/>
      <c r="EG16" s="89"/>
      <c r="EH16" s="89"/>
      <c r="EI16" s="89"/>
      <c r="EJ16" s="89"/>
      <c r="EK16" s="89"/>
      <c r="EL16" s="89"/>
      <c r="EM16" s="89"/>
      <c r="EN16" s="89"/>
      <c r="EO16" s="89"/>
      <c r="EP16" s="89"/>
      <c r="EQ16" s="89"/>
      <c r="ER16" s="89"/>
      <c r="ES16" s="89"/>
      <c r="ET16" s="89"/>
      <c r="EU16" s="89"/>
      <c r="EV16" s="89"/>
      <c r="EW16" s="89"/>
      <c r="EX16" s="89"/>
      <c r="EY16" s="90"/>
      <c r="EZ16" s="40"/>
    </row>
    <row r="17" spans="1:156" ht="15.6" x14ac:dyDescent="0.3">
      <c r="A17" s="39"/>
      <c r="B17" s="118"/>
      <c r="C17" s="119"/>
      <c r="D17" s="119"/>
      <c r="E17" s="119"/>
      <c r="F17" s="119"/>
      <c r="G17" s="119"/>
      <c r="H17" s="119"/>
      <c r="I17" s="119"/>
      <c r="J17" s="119"/>
      <c r="K17" s="119"/>
      <c r="L17" s="119"/>
      <c r="M17" s="119"/>
      <c r="N17" s="119"/>
      <c r="O17" s="119"/>
      <c r="P17" s="119"/>
      <c r="Q17" s="119"/>
      <c r="R17" s="119"/>
      <c r="S17" s="119"/>
      <c r="T17" s="119"/>
      <c r="U17" s="119"/>
      <c r="V17" s="119"/>
      <c r="W17" s="119"/>
      <c r="X17" s="119"/>
      <c r="Y17" s="119"/>
      <c r="Z17" s="119"/>
      <c r="AA17" s="119"/>
      <c r="AB17" s="119"/>
      <c r="AC17" s="119"/>
      <c r="AD17" s="119"/>
      <c r="AE17" s="119"/>
      <c r="AF17" s="119"/>
      <c r="AG17" s="119"/>
      <c r="AH17" s="119"/>
      <c r="AI17" s="119"/>
      <c r="AJ17" s="119"/>
      <c r="AK17" s="119"/>
      <c r="AL17" s="119"/>
      <c r="AM17" s="119"/>
      <c r="AN17" s="119"/>
      <c r="AO17" s="119"/>
      <c r="AP17" s="119"/>
      <c r="AQ17" s="119"/>
      <c r="AR17" s="119"/>
      <c r="AS17" s="119"/>
      <c r="AT17" s="119"/>
      <c r="AU17" s="119"/>
      <c r="AV17" s="119"/>
      <c r="AW17" s="119"/>
      <c r="AX17" s="119"/>
      <c r="AY17" s="119"/>
      <c r="AZ17" s="119"/>
      <c r="BA17" s="119"/>
      <c r="BB17" s="119"/>
      <c r="BC17" s="119"/>
      <c r="BD17" s="119"/>
      <c r="BE17" s="119"/>
      <c r="BF17" s="119"/>
      <c r="BG17" s="119"/>
      <c r="BH17" s="119"/>
      <c r="BI17" s="119"/>
      <c r="BJ17" s="119"/>
      <c r="BK17" s="119"/>
      <c r="BL17" s="119"/>
      <c r="BM17" s="119"/>
      <c r="BN17" s="119"/>
      <c r="BO17" s="119"/>
      <c r="BP17" s="119"/>
      <c r="BQ17" s="119"/>
      <c r="BR17" s="119"/>
      <c r="BS17" s="119"/>
      <c r="BT17" s="119"/>
      <c r="BU17" s="119"/>
      <c r="BV17" s="119"/>
      <c r="BW17" s="119"/>
      <c r="BX17" s="119"/>
      <c r="BY17" s="119"/>
      <c r="BZ17" s="120"/>
      <c r="CA17" s="124"/>
      <c r="CB17" s="125"/>
      <c r="CC17" s="125"/>
      <c r="CD17" s="125"/>
      <c r="CE17" s="125"/>
      <c r="CF17" s="125"/>
      <c r="CG17" s="125"/>
      <c r="CH17" s="125"/>
      <c r="CI17" s="125"/>
      <c r="CJ17" s="125"/>
      <c r="CK17" s="125"/>
      <c r="CL17" s="125"/>
      <c r="CM17" s="125"/>
      <c r="CN17" s="125"/>
      <c r="CO17" s="125"/>
      <c r="CP17" s="125"/>
      <c r="CQ17" s="125"/>
      <c r="CR17" s="125"/>
      <c r="CS17" s="125"/>
      <c r="CT17" s="125"/>
      <c r="CU17" s="125"/>
      <c r="CV17" s="125"/>
      <c r="CW17" s="125"/>
      <c r="CX17" s="125"/>
      <c r="CY17" s="125"/>
      <c r="CZ17" s="125"/>
      <c r="DA17" s="125"/>
      <c r="DB17" s="125"/>
      <c r="DC17" s="125"/>
      <c r="DD17" s="125"/>
      <c r="DE17" s="125"/>
      <c r="DF17" s="125"/>
      <c r="DG17" s="125"/>
      <c r="DH17" s="125"/>
      <c r="DI17" s="125"/>
      <c r="DJ17" s="125"/>
      <c r="DK17" s="125"/>
      <c r="DL17" s="125"/>
      <c r="DM17" s="125"/>
      <c r="DN17" s="125"/>
      <c r="DO17" s="125"/>
      <c r="DP17" s="125"/>
      <c r="DQ17" s="125"/>
      <c r="DR17" s="125"/>
      <c r="DS17" s="125"/>
      <c r="DT17" s="125"/>
      <c r="DU17" s="125"/>
      <c r="DV17" s="125"/>
      <c r="DW17" s="125"/>
      <c r="DX17" s="125"/>
      <c r="DY17" s="125"/>
      <c r="DZ17" s="126"/>
      <c r="EA17" s="88"/>
      <c r="EB17" s="89"/>
      <c r="EC17" s="89"/>
      <c r="ED17" s="89"/>
      <c r="EE17" s="89"/>
      <c r="EF17" s="89"/>
      <c r="EG17" s="89"/>
      <c r="EH17" s="89"/>
      <c r="EI17" s="89"/>
      <c r="EJ17" s="89"/>
      <c r="EK17" s="89"/>
      <c r="EL17" s="89"/>
      <c r="EM17" s="89"/>
      <c r="EN17" s="89"/>
      <c r="EO17" s="89"/>
      <c r="EP17" s="89"/>
      <c r="EQ17" s="89"/>
      <c r="ER17" s="89"/>
      <c r="ES17" s="89"/>
      <c r="ET17" s="89"/>
      <c r="EU17" s="89"/>
      <c r="EV17" s="89"/>
      <c r="EW17" s="89"/>
      <c r="EX17" s="89"/>
      <c r="EY17" s="90"/>
      <c r="EZ17" s="40"/>
    </row>
    <row r="18" spans="1:156" ht="15.6" x14ac:dyDescent="0.3">
      <c r="A18" s="39"/>
      <c r="B18" s="118"/>
      <c r="C18" s="119"/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119"/>
      <c r="AL18" s="119"/>
      <c r="AM18" s="119"/>
      <c r="AN18" s="119"/>
      <c r="AO18" s="119"/>
      <c r="AP18" s="119"/>
      <c r="AQ18" s="119"/>
      <c r="AR18" s="119"/>
      <c r="AS18" s="119"/>
      <c r="AT18" s="119"/>
      <c r="AU18" s="119"/>
      <c r="AV18" s="119"/>
      <c r="AW18" s="119"/>
      <c r="AX18" s="119"/>
      <c r="AY18" s="119"/>
      <c r="AZ18" s="119"/>
      <c r="BA18" s="119"/>
      <c r="BB18" s="119"/>
      <c r="BC18" s="119"/>
      <c r="BD18" s="119"/>
      <c r="BE18" s="119"/>
      <c r="BF18" s="119"/>
      <c r="BG18" s="119"/>
      <c r="BH18" s="119"/>
      <c r="BI18" s="119"/>
      <c r="BJ18" s="119"/>
      <c r="BK18" s="119"/>
      <c r="BL18" s="119"/>
      <c r="BM18" s="119"/>
      <c r="BN18" s="119"/>
      <c r="BO18" s="119"/>
      <c r="BP18" s="119"/>
      <c r="BQ18" s="119"/>
      <c r="BR18" s="119"/>
      <c r="BS18" s="119"/>
      <c r="BT18" s="119"/>
      <c r="BU18" s="119"/>
      <c r="BV18" s="119"/>
      <c r="BW18" s="119"/>
      <c r="BX18" s="119"/>
      <c r="BY18" s="119"/>
      <c r="BZ18" s="120"/>
      <c r="CA18" s="124"/>
      <c r="CB18" s="125"/>
      <c r="CC18" s="125"/>
      <c r="CD18" s="125"/>
      <c r="CE18" s="125"/>
      <c r="CF18" s="125"/>
      <c r="CG18" s="125"/>
      <c r="CH18" s="125"/>
      <c r="CI18" s="125"/>
      <c r="CJ18" s="125"/>
      <c r="CK18" s="125"/>
      <c r="CL18" s="125"/>
      <c r="CM18" s="125"/>
      <c r="CN18" s="125"/>
      <c r="CO18" s="125"/>
      <c r="CP18" s="125"/>
      <c r="CQ18" s="125"/>
      <c r="CR18" s="125"/>
      <c r="CS18" s="125"/>
      <c r="CT18" s="125"/>
      <c r="CU18" s="125"/>
      <c r="CV18" s="125"/>
      <c r="CW18" s="125"/>
      <c r="CX18" s="125"/>
      <c r="CY18" s="125"/>
      <c r="CZ18" s="125"/>
      <c r="DA18" s="125"/>
      <c r="DB18" s="125"/>
      <c r="DC18" s="125"/>
      <c r="DD18" s="125"/>
      <c r="DE18" s="125"/>
      <c r="DF18" s="125"/>
      <c r="DG18" s="125"/>
      <c r="DH18" s="125"/>
      <c r="DI18" s="125"/>
      <c r="DJ18" s="125"/>
      <c r="DK18" s="125"/>
      <c r="DL18" s="125"/>
      <c r="DM18" s="125"/>
      <c r="DN18" s="125"/>
      <c r="DO18" s="125"/>
      <c r="DP18" s="125"/>
      <c r="DQ18" s="125"/>
      <c r="DR18" s="125"/>
      <c r="DS18" s="125"/>
      <c r="DT18" s="125"/>
      <c r="DU18" s="125"/>
      <c r="DV18" s="125"/>
      <c r="DW18" s="125"/>
      <c r="DX18" s="125"/>
      <c r="DY18" s="125"/>
      <c r="DZ18" s="126"/>
      <c r="EA18" s="88"/>
      <c r="EB18" s="89"/>
      <c r="EC18" s="89"/>
      <c r="ED18" s="89"/>
      <c r="EE18" s="89"/>
      <c r="EF18" s="89"/>
      <c r="EG18" s="89"/>
      <c r="EH18" s="89"/>
      <c r="EI18" s="89"/>
      <c r="EJ18" s="89"/>
      <c r="EK18" s="89"/>
      <c r="EL18" s="89"/>
      <c r="EM18" s="89"/>
      <c r="EN18" s="89"/>
      <c r="EO18" s="89"/>
      <c r="EP18" s="89"/>
      <c r="EQ18" s="89"/>
      <c r="ER18" s="89"/>
      <c r="ES18" s="89"/>
      <c r="ET18" s="89"/>
      <c r="EU18" s="89"/>
      <c r="EV18" s="89"/>
      <c r="EW18" s="89"/>
      <c r="EX18" s="89"/>
      <c r="EY18" s="90"/>
      <c r="EZ18" s="40"/>
    </row>
    <row r="19" spans="1:156" ht="15.6" x14ac:dyDescent="0.3">
      <c r="A19" s="39"/>
      <c r="B19" s="121"/>
      <c r="C19" s="122"/>
      <c r="D19" s="122"/>
      <c r="E19" s="122"/>
      <c r="F19" s="122"/>
      <c r="G19" s="122"/>
      <c r="H19" s="122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2"/>
      <c r="AN19" s="122"/>
      <c r="AO19" s="122"/>
      <c r="AP19" s="122"/>
      <c r="AQ19" s="122"/>
      <c r="AR19" s="122"/>
      <c r="AS19" s="122"/>
      <c r="AT19" s="122"/>
      <c r="AU19" s="122"/>
      <c r="AV19" s="122"/>
      <c r="AW19" s="122"/>
      <c r="AX19" s="122"/>
      <c r="AY19" s="122"/>
      <c r="AZ19" s="122"/>
      <c r="BA19" s="122"/>
      <c r="BB19" s="122"/>
      <c r="BC19" s="122"/>
      <c r="BD19" s="122"/>
      <c r="BE19" s="122"/>
      <c r="BF19" s="122"/>
      <c r="BG19" s="122"/>
      <c r="BH19" s="122"/>
      <c r="BI19" s="122"/>
      <c r="BJ19" s="122"/>
      <c r="BK19" s="122"/>
      <c r="BL19" s="122"/>
      <c r="BM19" s="122"/>
      <c r="BN19" s="122"/>
      <c r="BO19" s="122"/>
      <c r="BP19" s="122"/>
      <c r="BQ19" s="122"/>
      <c r="BR19" s="122"/>
      <c r="BS19" s="122"/>
      <c r="BT19" s="122"/>
      <c r="BU19" s="122"/>
      <c r="BV19" s="122"/>
      <c r="BW19" s="122"/>
      <c r="BX19" s="122"/>
      <c r="BY19" s="122"/>
      <c r="BZ19" s="123"/>
      <c r="CA19" s="127"/>
      <c r="CB19" s="128"/>
      <c r="CC19" s="128"/>
      <c r="CD19" s="128"/>
      <c r="CE19" s="128"/>
      <c r="CF19" s="128"/>
      <c r="CG19" s="128"/>
      <c r="CH19" s="128"/>
      <c r="CI19" s="128"/>
      <c r="CJ19" s="128"/>
      <c r="CK19" s="128"/>
      <c r="CL19" s="128"/>
      <c r="CM19" s="128"/>
      <c r="CN19" s="128"/>
      <c r="CO19" s="128"/>
      <c r="CP19" s="128"/>
      <c r="CQ19" s="128"/>
      <c r="CR19" s="128"/>
      <c r="CS19" s="128"/>
      <c r="CT19" s="128"/>
      <c r="CU19" s="128"/>
      <c r="CV19" s="128"/>
      <c r="CW19" s="128"/>
      <c r="CX19" s="128"/>
      <c r="CY19" s="128"/>
      <c r="CZ19" s="128"/>
      <c r="DA19" s="128"/>
      <c r="DB19" s="128"/>
      <c r="DC19" s="128"/>
      <c r="DD19" s="128"/>
      <c r="DE19" s="128"/>
      <c r="DF19" s="128"/>
      <c r="DG19" s="128"/>
      <c r="DH19" s="128"/>
      <c r="DI19" s="128"/>
      <c r="DJ19" s="128"/>
      <c r="DK19" s="128"/>
      <c r="DL19" s="128"/>
      <c r="DM19" s="128"/>
      <c r="DN19" s="128"/>
      <c r="DO19" s="128"/>
      <c r="DP19" s="128"/>
      <c r="DQ19" s="128"/>
      <c r="DR19" s="128"/>
      <c r="DS19" s="128"/>
      <c r="DT19" s="128"/>
      <c r="DU19" s="128"/>
      <c r="DV19" s="128"/>
      <c r="DW19" s="128"/>
      <c r="DX19" s="128"/>
      <c r="DY19" s="128"/>
      <c r="DZ19" s="129"/>
      <c r="EA19" s="91"/>
      <c r="EB19" s="92"/>
      <c r="EC19" s="92"/>
      <c r="ED19" s="92"/>
      <c r="EE19" s="92"/>
      <c r="EF19" s="92"/>
      <c r="EG19" s="92"/>
      <c r="EH19" s="92"/>
      <c r="EI19" s="92"/>
      <c r="EJ19" s="92"/>
      <c r="EK19" s="92"/>
      <c r="EL19" s="92"/>
      <c r="EM19" s="92"/>
      <c r="EN19" s="92"/>
      <c r="EO19" s="92"/>
      <c r="EP19" s="92"/>
      <c r="EQ19" s="92"/>
      <c r="ER19" s="92"/>
      <c r="ES19" s="92"/>
      <c r="ET19" s="92"/>
      <c r="EU19" s="92"/>
      <c r="EV19" s="92"/>
      <c r="EW19" s="92"/>
      <c r="EX19" s="92"/>
      <c r="EY19" s="93"/>
      <c r="EZ19" s="40"/>
    </row>
    <row r="20" spans="1:156" ht="15.6" x14ac:dyDescent="0.3">
      <c r="A20" s="39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  <c r="CR20" s="42"/>
      <c r="CS20" s="42"/>
      <c r="CT20" s="42"/>
      <c r="CU20" s="42"/>
      <c r="CV20" s="42"/>
      <c r="CW20" s="42"/>
      <c r="CX20" s="42"/>
      <c r="CY20" s="42"/>
      <c r="CZ20" s="42"/>
      <c r="DA20" s="42"/>
      <c r="DB20" s="42"/>
      <c r="DC20" s="42"/>
      <c r="DD20" s="42"/>
      <c r="DE20" s="42"/>
      <c r="DF20" s="42"/>
      <c r="DG20" s="42"/>
      <c r="DH20" s="42"/>
      <c r="DI20" s="42"/>
      <c r="DJ20" s="42"/>
      <c r="DK20" s="42"/>
      <c r="DL20" s="42"/>
      <c r="DM20" s="42"/>
      <c r="DN20" s="42"/>
      <c r="DO20" s="42"/>
      <c r="DP20" s="42"/>
      <c r="DQ20" s="42"/>
      <c r="DR20" s="42"/>
      <c r="DS20" s="42"/>
      <c r="DT20" s="42"/>
      <c r="DU20" s="42"/>
      <c r="DV20" s="42"/>
      <c r="DW20" s="42"/>
      <c r="DX20" s="42"/>
      <c r="DY20" s="42"/>
      <c r="DZ20" s="42"/>
      <c r="EA20" s="43"/>
      <c r="EB20" s="43"/>
      <c r="EC20" s="43"/>
      <c r="ED20" s="43"/>
      <c r="EE20" s="43"/>
      <c r="EF20" s="43"/>
      <c r="EG20" s="43"/>
      <c r="EH20" s="43"/>
      <c r="EI20" s="43"/>
      <c r="EJ20" s="43"/>
      <c r="EK20" s="43"/>
      <c r="EL20" s="43"/>
      <c r="EM20" s="43"/>
      <c r="EN20" s="43"/>
      <c r="EO20" s="43"/>
      <c r="EP20" s="43"/>
      <c r="EQ20" s="43"/>
      <c r="ER20" s="43"/>
      <c r="ES20" s="43"/>
      <c r="ET20" s="43"/>
      <c r="EU20" s="43"/>
      <c r="EV20" s="43"/>
      <c r="EW20" s="43"/>
      <c r="EX20" s="43"/>
      <c r="EY20" s="43"/>
      <c r="EZ20" s="40"/>
    </row>
    <row r="21" spans="1:156" ht="15.6" x14ac:dyDescent="0.3">
      <c r="A21" s="39"/>
      <c r="B21" s="157" t="s">
        <v>69</v>
      </c>
      <c r="C21" s="158"/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  <c r="AA21" s="158"/>
      <c r="AB21" s="158"/>
      <c r="AC21" s="158"/>
      <c r="AD21" s="158"/>
      <c r="AE21" s="158"/>
      <c r="AF21" s="158"/>
      <c r="AG21" s="158"/>
      <c r="AH21" s="158"/>
      <c r="AI21" s="158"/>
      <c r="AJ21" s="158"/>
      <c r="AK21" s="158"/>
      <c r="AL21" s="158"/>
      <c r="AM21" s="158"/>
      <c r="AN21" s="158"/>
      <c r="AO21" s="158"/>
      <c r="AP21" s="158"/>
      <c r="AQ21" s="158"/>
      <c r="AR21" s="158"/>
      <c r="AS21" s="158"/>
      <c r="AT21" s="158"/>
      <c r="AU21" s="158"/>
      <c r="AV21" s="158"/>
      <c r="AW21" s="158"/>
      <c r="AX21" s="158"/>
      <c r="AY21" s="158"/>
      <c r="AZ21" s="158"/>
      <c r="BA21" s="158"/>
      <c r="BB21" s="158"/>
      <c r="BC21" s="158"/>
      <c r="BD21" s="158"/>
      <c r="BE21" s="158"/>
      <c r="BF21" s="158"/>
      <c r="BG21" s="158"/>
      <c r="BH21" s="158"/>
      <c r="BI21" s="158"/>
      <c r="BJ21" s="158"/>
      <c r="BK21" s="158"/>
      <c r="BL21" s="158"/>
      <c r="BM21" s="158"/>
      <c r="BN21" s="158"/>
      <c r="BO21" s="158"/>
      <c r="BP21" s="158"/>
      <c r="BQ21" s="158"/>
      <c r="BR21" s="158"/>
      <c r="BS21" s="158"/>
      <c r="BT21" s="158"/>
      <c r="BU21" s="158"/>
      <c r="BV21" s="158"/>
      <c r="BW21" s="158"/>
      <c r="BX21" s="158"/>
      <c r="BY21" s="158"/>
      <c r="BZ21" s="158"/>
      <c r="CA21" s="158"/>
      <c r="CB21" s="158"/>
      <c r="CC21" s="158"/>
      <c r="CD21" s="158"/>
      <c r="CE21" s="158"/>
      <c r="CF21" s="158"/>
      <c r="CG21" s="158"/>
      <c r="CH21" s="158"/>
      <c r="CI21" s="158"/>
      <c r="CJ21" s="158"/>
      <c r="CK21" s="158"/>
      <c r="CL21" s="158"/>
      <c r="CM21" s="158"/>
      <c r="CN21" s="158"/>
      <c r="CO21" s="158"/>
      <c r="CP21" s="158"/>
      <c r="CQ21" s="158"/>
      <c r="CR21" s="158"/>
      <c r="CS21" s="158"/>
      <c r="CT21" s="158"/>
      <c r="CU21" s="158"/>
      <c r="CV21" s="158"/>
      <c r="CW21" s="158"/>
      <c r="CX21" s="158"/>
      <c r="CY21" s="158"/>
      <c r="CZ21" s="158"/>
      <c r="DA21" s="158"/>
      <c r="DB21" s="158"/>
      <c r="DC21" s="158"/>
      <c r="DD21" s="158"/>
      <c r="DE21" s="158"/>
      <c r="DF21" s="158"/>
      <c r="DG21" s="158"/>
      <c r="DH21" s="158"/>
      <c r="DI21" s="158"/>
      <c r="DJ21" s="158"/>
      <c r="DK21" s="158"/>
      <c r="DL21" s="158"/>
      <c r="DM21" s="158"/>
      <c r="DN21" s="158"/>
      <c r="DO21" s="158"/>
      <c r="DP21" s="158"/>
      <c r="DQ21" s="158"/>
      <c r="DR21" s="158"/>
      <c r="DS21" s="158"/>
      <c r="DT21" s="158"/>
      <c r="DU21" s="158"/>
      <c r="DV21" s="158"/>
      <c r="DW21" s="158"/>
      <c r="DX21" s="158"/>
      <c r="DY21" s="158"/>
      <c r="DZ21" s="159"/>
      <c r="EA21" s="130" t="s">
        <v>70</v>
      </c>
      <c r="EB21" s="131"/>
      <c r="EC21" s="131"/>
      <c r="ED21" s="131"/>
      <c r="EE21" s="131"/>
      <c r="EF21" s="131"/>
      <c r="EG21" s="131"/>
      <c r="EH21" s="131"/>
      <c r="EI21" s="131"/>
      <c r="EJ21" s="131"/>
      <c r="EK21" s="131"/>
      <c r="EL21" s="131"/>
      <c r="EM21" s="131"/>
      <c r="EN21" s="131"/>
      <c r="EO21" s="131"/>
      <c r="EP21" s="131"/>
      <c r="EQ21" s="131"/>
      <c r="ER21" s="131"/>
      <c r="ES21" s="131"/>
      <c r="ET21" s="131"/>
      <c r="EU21" s="131"/>
      <c r="EV21" s="131"/>
      <c r="EW21" s="131"/>
      <c r="EX21" s="131"/>
      <c r="EY21" s="132"/>
      <c r="EZ21" s="40"/>
    </row>
    <row r="22" spans="1:156" ht="15.6" customHeight="1" x14ac:dyDescent="0.3">
      <c r="A22" s="39"/>
      <c r="B22" s="133" t="s">
        <v>51</v>
      </c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/>
      <c r="AA22" s="134"/>
      <c r="AB22" s="134"/>
      <c r="AC22" s="134"/>
      <c r="AD22" s="134"/>
      <c r="AE22" s="134"/>
      <c r="AF22" s="134"/>
      <c r="AG22" s="134"/>
      <c r="AH22" s="134"/>
      <c r="AI22" s="134"/>
      <c r="AJ22" s="134"/>
      <c r="AK22" s="134"/>
      <c r="AL22" s="134"/>
      <c r="AM22" s="134"/>
      <c r="AN22" s="134"/>
      <c r="AO22" s="134"/>
      <c r="AP22" s="134"/>
      <c r="AQ22" s="134"/>
      <c r="AR22" s="134"/>
      <c r="AS22" s="134"/>
      <c r="AT22" s="134"/>
      <c r="AU22" s="134"/>
      <c r="AV22" s="134"/>
      <c r="AW22" s="134"/>
      <c r="AX22" s="134"/>
      <c r="AY22" s="134"/>
      <c r="AZ22" s="134"/>
      <c r="BA22" s="134"/>
      <c r="BB22" s="134"/>
      <c r="BC22" s="134"/>
      <c r="BD22" s="134"/>
      <c r="BE22" s="134"/>
      <c r="BF22" s="134"/>
      <c r="BG22" s="134"/>
      <c r="BH22" s="134"/>
      <c r="BI22" s="134"/>
      <c r="BJ22" s="134"/>
      <c r="BK22" s="134"/>
      <c r="BL22" s="134"/>
      <c r="BM22" s="134"/>
      <c r="BN22" s="134"/>
      <c r="BO22" s="134"/>
      <c r="BP22" s="134"/>
      <c r="BQ22" s="134"/>
      <c r="BR22" s="134"/>
      <c r="BS22" s="134"/>
      <c r="BT22" s="134"/>
      <c r="BU22" s="134"/>
      <c r="BV22" s="134"/>
      <c r="BW22" s="134"/>
      <c r="BX22" s="134"/>
      <c r="BY22" s="134"/>
      <c r="BZ22" s="134"/>
      <c r="CA22" s="134"/>
      <c r="CB22" s="134"/>
      <c r="CC22" s="134"/>
      <c r="CD22" s="134"/>
      <c r="CE22" s="134"/>
      <c r="CF22" s="134"/>
      <c r="CG22" s="134"/>
      <c r="CH22" s="134"/>
      <c r="CI22" s="134"/>
      <c r="CJ22" s="134"/>
      <c r="CK22" s="134"/>
      <c r="CL22" s="134"/>
      <c r="CM22" s="134"/>
      <c r="CN22" s="134"/>
      <c r="CO22" s="134"/>
      <c r="CP22" s="134"/>
      <c r="CQ22" s="134"/>
      <c r="CR22" s="134"/>
      <c r="CS22" s="134"/>
      <c r="CT22" s="134"/>
      <c r="CU22" s="134"/>
      <c r="CV22" s="134"/>
      <c r="CW22" s="134"/>
      <c r="CX22" s="134"/>
      <c r="CY22" s="134"/>
      <c r="CZ22" s="134"/>
      <c r="DA22" s="134"/>
      <c r="DB22" s="134"/>
      <c r="DC22" s="134"/>
      <c r="DD22" s="134"/>
      <c r="DE22" s="134"/>
      <c r="DF22" s="134"/>
      <c r="DG22" s="134"/>
      <c r="DH22" s="134"/>
      <c r="DI22" s="134"/>
      <c r="DJ22" s="134"/>
      <c r="DK22" s="134"/>
      <c r="DL22" s="134"/>
      <c r="DM22" s="134"/>
      <c r="DN22" s="134"/>
      <c r="DO22" s="134"/>
      <c r="DP22" s="134"/>
      <c r="DQ22" s="134"/>
      <c r="DR22" s="134"/>
      <c r="DS22" s="134"/>
      <c r="DT22" s="134"/>
      <c r="DU22" s="134"/>
      <c r="DV22" s="134"/>
      <c r="DW22" s="134"/>
      <c r="DX22" s="134"/>
      <c r="DY22" s="134"/>
      <c r="DZ22" s="135"/>
      <c r="EA22" s="136">
        <v>8</v>
      </c>
      <c r="EB22" s="137"/>
      <c r="EC22" s="137"/>
      <c r="ED22" s="137"/>
      <c r="EE22" s="137"/>
      <c r="EF22" s="137"/>
      <c r="EG22" s="137"/>
      <c r="EH22" s="137"/>
      <c r="EI22" s="137"/>
      <c r="EJ22" s="137"/>
      <c r="EK22" s="137"/>
      <c r="EL22" s="137"/>
      <c r="EM22" s="137"/>
      <c r="EN22" s="137"/>
      <c r="EO22" s="137"/>
      <c r="EP22" s="137"/>
      <c r="EQ22" s="137"/>
      <c r="ER22" s="137"/>
      <c r="ES22" s="137"/>
      <c r="ET22" s="137"/>
      <c r="EU22" s="137"/>
      <c r="EV22" s="137"/>
      <c r="EW22" s="137"/>
      <c r="EX22" s="137"/>
      <c r="EY22" s="138"/>
      <c r="EZ22" s="40"/>
    </row>
    <row r="23" spans="1:156" ht="15.6" x14ac:dyDescent="0.3">
      <c r="A23" s="39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40"/>
    </row>
    <row r="24" spans="1:156" ht="15.6" x14ac:dyDescent="0.3">
      <c r="A24" s="39"/>
      <c r="B24" s="110" t="s">
        <v>71</v>
      </c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/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39"/>
      <c r="CA24" s="140" t="s">
        <v>72</v>
      </c>
      <c r="CB24" s="140"/>
      <c r="CC24" s="140"/>
      <c r="CD24" s="140"/>
      <c r="CE24" s="140"/>
      <c r="CF24" s="140"/>
      <c r="CG24" s="140"/>
      <c r="CH24" s="140"/>
      <c r="CI24" s="140"/>
      <c r="CJ24" s="140"/>
      <c r="CK24" s="140"/>
      <c r="CL24" s="140"/>
      <c r="CM24" s="140"/>
      <c r="CN24" s="140"/>
      <c r="CO24" s="140"/>
      <c r="CP24" s="140"/>
      <c r="CQ24" s="140"/>
      <c r="CR24" s="140"/>
      <c r="CS24" s="140"/>
      <c r="CT24" s="140"/>
      <c r="CU24" s="140"/>
      <c r="CV24" s="140"/>
      <c r="CW24" s="140"/>
      <c r="CX24" s="140"/>
      <c r="CY24" s="140"/>
      <c r="CZ24" s="140"/>
      <c r="DA24" s="140"/>
      <c r="DB24" s="140"/>
      <c r="DC24" s="140"/>
      <c r="DD24" s="140"/>
      <c r="DE24" s="140"/>
      <c r="DF24" s="140"/>
      <c r="DG24" s="140"/>
      <c r="DH24" s="140"/>
      <c r="DI24" s="140"/>
      <c r="DJ24" s="140"/>
      <c r="DK24" s="140"/>
      <c r="DL24" s="140"/>
      <c r="DM24" s="140"/>
      <c r="DN24" s="140"/>
      <c r="DO24" s="140"/>
      <c r="DP24" s="140"/>
      <c r="DQ24" s="140"/>
      <c r="DR24" s="140"/>
      <c r="DS24" s="140"/>
      <c r="DT24" s="140"/>
      <c r="DU24" s="140"/>
      <c r="DV24" s="140"/>
      <c r="DW24" s="140"/>
      <c r="DX24" s="140"/>
      <c r="DY24" s="140"/>
      <c r="DZ24" s="140"/>
      <c r="EA24" s="140"/>
      <c r="EB24" s="140"/>
      <c r="EC24" s="140"/>
      <c r="ED24" s="140"/>
      <c r="EE24" s="140"/>
      <c r="EF24" s="140"/>
      <c r="EG24" s="140"/>
      <c r="EH24" s="140"/>
      <c r="EI24" s="140"/>
      <c r="EJ24" s="140"/>
      <c r="EK24" s="140"/>
      <c r="EL24" s="140"/>
      <c r="EM24" s="140"/>
      <c r="EN24" s="140"/>
      <c r="EO24" s="140"/>
      <c r="EP24" s="140"/>
      <c r="EQ24" s="140"/>
      <c r="ER24" s="140"/>
      <c r="ES24" s="140"/>
      <c r="ET24" s="140"/>
      <c r="EU24" s="140"/>
      <c r="EV24" s="140"/>
      <c r="EW24" s="140"/>
      <c r="EX24" s="140"/>
      <c r="EY24" s="141"/>
      <c r="EZ24" s="40"/>
    </row>
    <row r="25" spans="1:156" ht="15.6" customHeight="1" x14ac:dyDescent="0.3">
      <c r="A25" s="39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30"/>
      <c r="CA25" s="142"/>
      <c r="CB25" s="143"/>
      <c r="CC25" s="143"/>
      <c r="CD25" s="143"/>
      <c r="CE25" s="143"/>
      <c r="CF25" s="143"/>
      <c r="CG25" s="143"/>
      <c r="CH25" s="143"/>
      <c r="CI25" s="143"/>
      <c r="CJ25" s="143"/>
      <c r="CK25" s="143"/>
      <c r="CL25" s="143"/>
      <c r="CM25" s="143"/>
      <c r="CN25" s="143"/>
      <c r="CO25" s="143"/>
      <c r="CP25" s="143"/>
      <c r="CQ25" s="143"/>
      <c r="CR25" s="143"/>
      <c r="CS25" s="143"/>
      <c r="CT25" s="143"/>
      <c r="CU25" s="143"/>
      <c r="CV25" s="143"/>
      <c r="CW25" s="143"/>
      <c r="CX25" s="143"/>
      <c r="CY25" s="143"/>
      <c r="CZ25" s="143"/>
      <c r="DA25" s="143"/>
      <c r="DB25" s="143"/>
      <c r="DC25" s="143"/>
      <c r="DD25" s="143"/>
      <c r="DE25" s="143"/>
      <c r="DF25" s="143"/>
      <c r="DG25" s="143"/>
      <c r="DH25" s="143"/>
      <c r="DI25" s="143"/>
      <c r="DJ25" s="143"/>
      <c r="DK25" s="143"/>
      <c r="DL25" s="143"/>
      <c r="DM25" s="143"/>
      <c r="DN25" s="143"/>
      <c r="DO25" s="143"/>
      <c r="DP25" s="143"/>
      <c r="DQ25" s="143"/>
      <c r="DR25" s="143"/>
      <c r="DS25" s="143"/>
      <c r="DT25" s="143"/>
      <c r="DU25" s="143"/>
      <c r="DV25" s="143"/>
      <c r="DW25" s="143"/>
      <c r="DX25" s="143"/>
      <c r="DY25" s="143"/>
      <c r="DZ25" s="143"/>
      <c r="EA25" s="143"/>
      <c r="EB25" s="143"/>
      <c r="EC25" s="143"/>
      <c r="ED25" s="143"/>
      <c r="EE25" s="143"/>
      <c r="EF25" s="143"/>
      <c r="EG25" s="143"/>
      <c r="EH25" s="143"/>
      <c r="EI25" s="143"/>
      <c r="EJ25" s="143"/>
      <c r="EK25" s="143"/>
      <c r="EL25" s="143"/>
      <c r="EM25" s="143"/>
      <c r="EN25" s="143"/>
      <c r="EO25" s="143"/>
      <c r="EP25" s="143"/>
      <c r="EQ25" s="143"/>
      <c r="ER25" s="143"/>
      <c r="ES25" s="143"/>
      <c r="ET25" s="143"/>
      <c r="EU25" s="143"/>
      <c r="EV25" s="143"/>
      <c r="EW25" s="143"/>
      <c r="EX25" s="143"/>
      <c r="EY25" s="144"/>
      <c r="EZ25" s="40"/>
    </row>
    <row r="26" spans="1:156" ht="20.100000000000001" customHeight="1" x14ac:dyDescent="0.3">
      <c r="A26" s="44"/>
      <c r="B26" s="31"/>
      <c r="C26" s="151"/>
      <c r="D26" s="152"/>
      <c r="E26" s="153" t="s">
        <v>73</v>
      </c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  <c r="AC26" s="154"/>
      <c r="AD26" s="154"/>
      <c r="AE26" s="154"/>
      <c r="AF26" s="154"/>
      <c r="AG26" s="154"/>
      <c r="AH26" s="154"/>
      <c r="AI26" s="154"/>
      <c r="AJ26" s="154"/>
      <c r="AK26" s="154"/>
      <c r="AL26" s="154"/>
      <c r="AM26" s="154"/>
      <c r="AN26" s="154"/>
      <c r="AO26" s="156"/>
      <c r="AP26" s="151"/>
      <c r="AQ26" s="152"/>
      <c r="AR26" s="153" t="s">
        <v>52</v>
      </c>
      <c r="AS26" s="154"/>
      <c r="AT26" s="154"/>
      <c r="AU26" s="154"/>
      <c r="AV26" s="154"/>
      <c r="AW26" s="154"/>
      <c r="AX26" s="154"/>
      <c r="AY26" s="154"/>
      <c r="AZ26" s="154"/>
      <c r="BA26" s="154"/>
      <c r="BB26" s="154"/>
      <c r="BC26" s="154"/>
      <c r="BD26" s="154"/>
      <c r="BE26" s="154"/>
      <c r="BF26" s="154"/>
      <c r="BG26" s="154"/>
      <c r="BH26" s="154"/>
      <c r="BI26" s="154"/>
      <c r="BJ26" s="154"/>
      <c r="BK26" s="154"/>
      <c r="BL26" s="154"/>
      <c r="BM26" s="154"/>
      <c r="BN26" s="154"/>
      <c r="BO26" s="154"/>
      <c r="BP26" s="154"/>
      <c r="BQ26" s="154"/>
      <c r="BR26" s="154"/>
      <c r="BS26" s="154"/>
      <c r="BT26" s="154"/>
      <c r="BU26" s="154"/>
      <c r="BV26" s="154"/>
      <c r="BW26" s="154"/>
      <c r="BX26" s="154"/>
      <c r="BY26" s="154"/>
      <c r="BZ26" s="155"/>
      <c r="CA26" s="145"/>
      <c r="CB26" s="146"/>
      <c r="CC26" s="146"/>
      <c r="CD26" s="146"/>
      <c r="CE26" s="146"/>
      <c r="CF26" s="146"/>
      <c r="CG26" s="146"/>
      <c r="CH26" s="146"/>
      <c r="CI26" s="146"/>
      <c r="CJ26" s="146"/>
      <c r="CK26" s="146"/>
      <c r="CL26" s="146"/>
      <c r="CM26" s="146"/>
      <c r="CN26" s="146"/>
      <c r="CO26" s="146"/>
      <c r="CP26" s="146"/>
      <c r="CQ26" s="146"/>
      <c r="CR26" s="146"/>
      <c r="CS26" s="146"/>
      <c r="CT26" s="146"/>
      <c r="CU26" s="146"/>
      <c r="CV26" s="146"/>
      <c r="CW26" s="146"/>
      <c r="CX26" s="146"/>
      <c r="CY26" s="146"/>
      <c r="CZ26" s="146"/>
      <c r="DA26" s="146"/>
      <c r="DB26" s="146"/>
      <c r="DC26" s="146"/>
      <c r="DD26" s="146"/>
      <c r="DE26" s="146"/>
      <c r="DF26" s="146"/>
      <c r="DG26" s="146"/>
      <c r="DH26" s="146"/>
      <c r="DI26" s="146"/>
      <c r="DJ26" s="146"/>
      <c r="DK26" s="146"/>
      <c r="DL26" s="146"/>
      <c r="DM26" s="146"/>
      <c r="DN26" s="146"/>
      <c r="DO26" s="146"/>
      <c r="DP26" s="146"/>
      <c r="DQ26" s="146"/>
      <c r="DR26" s="146"/>
      <c r="DS26" s="146"/>
      <c r="DT26" s="146"/>
      <c r="DU26" s="146"/>
      <c r="DV26" s="146"/>
      <c r="DW26" s="146"/>
      <c r="DX26" s="146"/>
      <c r="DY26" s="146"/>
      <c r="DZ26" s="146"/>
      <c r="EA26" s="146"/>
      <c r="EB26" s="146"/>
      <c r="EC26" s="146"/>
      <c r="ED26" s="146"/>
      <c r="EE26" s="146"/>
      <c r="EF26" s="146"/>
      <c r="EG26" s="146"/>
      <c r="EH26" s="146"/>
      <c r="EI26" s="146"/>
      <c r="EJ26" s="146"/>
      <c r="EK26" s="146"/>
      <c r="EL26" s="146"/>
      <c r="EM26" s="146"/>
      <c r="EN26" s="146"/>
      <c r="EO26" s="146"/>
      <c r="EP26" s="146"/>
      <c r="EQ26" s="146"/>
      <c r="ER26" s="146"/>
      <c r="ES26" s="146"/>
      <c r="ET26" s="146"/>
      <c r="EU26" s="146"/>
      <c r="EV26" s="146"/>
      <c r="EW26" s="146"/>
      <c r="EX26" s="146"/>
      <c r="EY26" s="147"/>
      <c r="EZ26" s="45"/>
    </row>
    <row r="27" spans="1:156" ht="20.100000000000001" customHeight="1" x14ac:dyDescent="0.3">
      <c r="A27" s="44"/>
      <c r="B27" s="31"/>
      <c r="C27" s="151"/>
      <c r="D27" s="152"/>
      <c r="E27" s="153" t="s">
        <v>74</v>
      </c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  <c r="AC27" s="154"/>
      <c r="AD27" s="154"/>
      <c r="AE27" s="154"/>
      <c r="AF27" s="154"/>
      <c r="AG27" s="154"/>
      <c r="AH27" s="154"/>
      <c r="AI27" s="154"/>
      <c r="AJ27" s="154"/>
      <c r="AK27" s="154"/>
      <c r="AL27" s="154"/>
      <c r="AM27" s="154"/>
      <c r="AN27" s="154"/>
      <c r="AO27" s="156"/>
      <c r="AP27" s="151"/>
      <c r="AQ27" s="152"/>
      <c r="AR27" s="153" t="s">
        <v>75</v>
      </c>
      <c r="AS27" s="154"/>
      <c r="AT27" s="154"/>
      <c r="AU27" s="154"/>
      <c r="AV27" s="154"/>
      <c r="AW27" s="154"/>
      <c r="AX27" s="154"/>
      <c r="AY27" s="154"/>
      <c r="AZ27" s="154"/>
      <c r="BA27" s="154"/>
      <c r="BB27" s="154"/>
      <c r="BC27" s="154"/>
      <c r="BD27" s="154"/>
      <c r="BE27" s="154"/>
      <c r="BF27" s="154"/>
      <c r="BG27" s="154"/>
      <c r="BH27" s="154"/>
      <c r="BI27" s="154"/>
      <c r="BJ27" s="154"/>
      <c r="BK27" s="154"/>
      <c r="BL27" s="154"/>
      <c r="BM27" s="154"/>
      <c r="BN27" s="154"/>
      <c r="BO27" s="154"/>
      <c r="BP27" s="154"/>
      <c r="BQ27" s="154"/>
      <c r="BR27" s="154"/>
      <c r="BS27" s="154"/>
      <c r="BT27" s="154"/>
      <c r="BU27" s="154"/>
      <c r="BV27" s="154"/>
      <c r="BW27" s="154"/>
      <c r="BX27" s="154"/>
      <c r="BY27" s="154"/>
      <c r="BZ27" s="155"/>
      <c r="CA27" s="145"/>
      <c r="CB27" s="146"/>
      <c r="CC27" s="146"/>
      <c r="CD27" s="146"/>
      <c r="CE27" s="146"/>
      <c r="CF27" s="146"/>
      <c r="CG27" s="146"/>
      <c r="CH27" s="146"/>
      <c r="CI27" s="146"/>
      <c r="CJ27" s="146"/>
      <c r="CK27" s="146"/>
      <c r="CL27" s="146"/>
      <c r="CM27" s="146"/>
      <c r="CN27" s="146"/>
      <c r="CO27" s="146"/>
      <c r="CP27" s="146"/>
      <c r="CQ27" s="146"/>
      <c r="CR27" s="146"/>
      <c r="CS27" s="146"/>
      <c r="CT27" s="146"/>
      <c r="CU27" s="146"/>
      <c r="CV27" s="146"/>
      <c r="CW27" s="146"/>
      <c r="CX27" s="146"/>
      <c r="CY27" s="146"/>
      <c r="CZ27" s="146"/>
      <c r="DA27" s="146"/>
      <c r="DB27" s="146"/>
      <c r="DC27" s="146"/>
      <c r="DD27" s="146"/>
      <c r="DE27" s="146"/>
      <c r="DF27" s="146"/>
      <c r="DG27" s="146"/>
      <c r="DH27" s="146"/>
      <c r="DI27" s="146"/>
      <c r="DJ27" s="146"/>
      <c r="DK27" s="146"/>
      <c r="DL27" s="146"/>
      <c r="DM27" s="146"/>
      <c r="DN27" s="146"/>
      <c r="DO27" s="146"/>
      <c r="DP27" s="146"/>
      <c r="DQ27" s="146"/>
      <c r="DR27" s="146"/>
      <c r="DS27" s="146"/>
      <c r="DT27" s="146"/>
      <c r="DU27" s="146"/>
      <c r="DV27" s="146"/>
      <c r="DW27" s="146"/>
      <c r="DX27" s="146"/>
      <c r="DY27" s="146"/>
      <c r="DZ27" s="146"/>
      <c r="EA27" s="146"/>
      <c r="EB27" s="146"/>
      <c r="EC27" s="146"/>
      <c r="ED27" s="146"/>
      <c r="EE27" s="146"/>
      <c r="EF27" s="146"/>
      <c r="EG27" s="146"/>
      <c r="EH27" s="146"/>
      <c r="EI27" s="146"/>
      <c r="EJ27" s="146"/>
      <c r="EK27" s="146"/>
      <c r="EL27" s="146"/>
      <c r="EM27" s="146"/>
      <c r="EN27" s="146"/>
      <c r="EO27" s="146"/>
      <c r="EP27" s="146"/>
      <c r="EQ27" s="146"/>
      <c r="ER27" s="146"/>
      <c r="ES27" s="146"/>
      <c r="ET27" s="146"/>
      <c r="EU27" s="146"/>
      <c r="EV27" s="146"/>
      <c r="EW27" s="146"/>
      <c r="EX27" s="146"/>
      <c r="EY27" s="147"/>
      <c r="EZ27" s="45"/>
    </row>
    <row r="28" spans="1:156" ht="20.100000000000001" customHeight="1" x14ac:dyDescent="0.3">
      <c r="A28" s="44"/>
      <c r="B28" s="31"/>
      <c r="C28" s="151" t="s">
        <v>59</v>
      </c>
      <c r="D28" s="152"/>
      <c r="E28" s="153" t="s">
        <v>76</v>
      </c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  <c r="AC28" s="154"/>
      <c r="AD28" s="154"/>
      <c r="AE28" s="154"/>
      <c r="AF28" s="154"/>
      <c r="AG28" s="154"/>
      <c r="AH28" s="154"/>
      <c r="AI28" s="154"/>
      <c r="AJ28" s="154"/>
      <c r="AK28" s="154"/>
      <c r="AL28" s="154"/>
      <c r="AM28" s="154"/>
      <c r="AN28" s="154"/>
      <c r="AO28" s="156"/>
      <c r="AP28" s="151" t="s">
        <v>59</v>
      </c>
      <c r="AQ28" s="152"/>
      <c r="AR28" s="153" t="s">
        <v>77</v>
      </c>
      <c r="AS28" s="154"/>
      <c r="AT28" s="154"/>
      <c r="AU28" s="154"/>
      <c r="AV28" s="154"/>
      <c r="AW28" s="154"/>
      <c r="AX28" s="154"/>
      <c r="AY28" s="154"/>
      <c r="AZ28" s="154"/>
      <c r="BA28" s="154"/>
      <c r="BB28" s="154"/>
      <c r="BC28" s="154"/>
      <c r="BD28" s="154"/>
      <c r="BE28" s="154"/>
      <c r="BF28" s="154"/>
      <c r="BG28" s="154"/>
      <c r="BH28" s="154"/>
      <c r="BI28" s="154"/>
      <c r="BJ28" s="154"/>
      <c r="BK28" s="154"/>
      <c r="BL28" s="154"/>
      <c r="BM28" s="154"/>
      <c r="BN28" s="154"/>
      <c r="BO28" s="154"/>
      <c r="BP28" s="154"/>
      <c r="BQ28" s="154"/>
      <c r="BR28" s="154"/>
      <c r="BS28" s="154"/>
      <c r="BT28" s="154"/>
      <c r="BU28" s="154"/>
      <c r="BV28" s="154"/>
      <c r="BW28" s="154"/>
      <c r="BX28" s="154"/>
      <c r="BY28" s="154"/>
      <c r="BZ28" s="155"/>
      <c r="CA28" s="145"/>
      <c r="CB28" s="146"/>
      <c r="CC28" s="146"/>
      <c r="CD28" s="146"/>
      <c r="CE28" s="146"/>
      <c r="CF28" s="146"/>
      <c r="CG28" s="146"/>
      <c r="CH28" s="146"/>
      <c r="CI28" s="146"/>
      <c r="CJ28" s="146"/>
      <c r="CK28" s="146"/>
      <c r="CL28" s="146"/>
      <c r="CM28" s="146"/>
      <c r="CN28" s="146"/>
      <c r="CO28" s="146"/>
      <c r="CP28" s="146"/>
      <c r="CQ28" s="146"/>
      <c r="CR28" s="146"/>
      <c r="CS28" s="146"/>
      <c r="CT28" s="146"/>
      <c r="CU28" s="146"/>
      <c r="CV28" s="146"/>
      <c r="CW28" s="146"/>
      <c r="CX28" s="146"/>
      <c r="CY28" s="146"/>
      <c r="CZ28" s="146"/>
      <c r="DA28" s="146"/>
      <c r="DB28" s="146"/>
      <c r="DC28" s="146"/>
      <c r="DD28" s="146"/>
      <c r="DE28" s="146"/>
      <c r="DF28" s="146"/>
      <c r="DG28" s="146"/>
      <c r="DH28" s="146"/>
      <c r="DI28" s="146"/>
      <c r="DJ28" s="146"/>
      <c r="DK28" s="146"/>
      <c r="DL28" s="146"/>
      <c r="DM28" s="146"/>
      <c r="DN28" s="146"/>
      <c r="DO28" s="146"/>
      <c r="DP28" s="146"/>
      <c r="DQ28" s="146"/>
      <c r="DR28" s="146"/>
      <c r="DS28" s="146"/>
      <c r="DT28" s="146"/>
      <c r="DU28" s="146"/>
      <c r="DV28" s="146"/>
      <c r="DW28" s="146"/>
      <c r="DX28" s="146"/>
      <c r="DY28" s="146"/>
      <c r="DZ28" s="146"/>
      <c r="EA28" s="146"/>
      <c r="EB28" s="146"/>
      <c r="EC28" s="146"/>
      <c r="ED28" s="146"/>
      <c r="EE28" s="146"/>
      <c r="EF28" s="146"/>
      <c r="EG28" s="146"/>
      <c r="EH28" s="146"/>
      <c r="EI28" s="146"/>
      <c r="EJ28" s="146"/>
      <c r="EK28" s="146"/>
      <c r="EL28" s="146"/>
      <c r="EM28" s="146"/>
      <c r="EN28" s="146"/>
      <c r="EO28" s="146"/>
      <c r="EP28" s="146"/>
      <c r="EQ28" s="146"/>
      <c r="ER28" s="146"/>
      <c r="ES28" s="146"/>
      <c r="ET28" s="146"/>
      <c r="EU28" s="146"/>
      <c r="EV28" s="146"/>
      <c r="EW28" s="146"/>
      <c r="EX28" s="146"/>
      <c r="EY28" s="147"/>
      <c r="EZ28" s="45"/>
    </row>
    <row r="29" spans="1:156" ht="20.100000000000001" customHeight="1" x14ac:dyDescent="0.3">
      <c r="A29" s="44"/>
      <c r="B29" s="31"/>
      <c r="C29" s="151"/>
      <c r="D29" s="152"/>
      <c r="E29" s="153" t="s">
        <v>78</v>
      </c>
      <c r="F29" s="154"/>
      <c r="G29" s="154"/>
      <c r="H29" s="154"/>
      <c r="I29" s="154"/>
      <c r="J29" s="154"/>
      <c r="K29" s="154"/>
      <c r="L29" s="154"/>
      <c r="M29" s="154"/>
      <c r="N29" s="154"/>
      <c r="O29" s="154"/>
      <c r="P29" s="154"/>
      <c r="Q29" s="154"/>
      <c r="R29" s="154"/>
      <c r="S29" s="154"/>
      <c r="T29" s="154"/>
      <c r="U29" s="154"/>
      <c r="V29" s="154"/>
      <c r="W29" s="154"/>
      <c r="X29" s="154"/>
      <c r="Y29" s="154"/>
      <c r="Z29" s="154"/>
      <c r="AA29" s="154"/>
      <c r="AB29" s="154"/>
      <c r="AC29" s="154"/>
      <c r="AD29" s="154"/>
      <c r="AE29" s="154"/>
      <c r="AF29" s="154"/>
      <c r="AG29" s="154"/>
      <c r="AH29" s="154"/>
      <c r="AI29" s="154"/>
      <c r="AJ29" s="154"/>
      <c r="AK29" s="154"/>
      <c r="AL29" s="154"/>
      <c r="AM29" s="154"/>
      <c r="AN29" s="154"/>
      <c r="AO29" s="156"/>
      <c r="AP29" s="151" t="s">
        <v>59</v>
      </c>
      <c r="AQ29" s="152"/>
      <c r="AR29" s="153" t="s">
        <v>79</v>
      </c>
      <c r="AS29" s="154"/>
      <c r="AT29" s="154"/>
      <c r="AU29" s="154"/>
      <c r="AV29" s="154"/>
      <c r="AW29" s="154"/>
      <c r="AX29" s="154"/>
      <c r="AY29" s="154"/>
      <c r="AZ29" s="154"/>
      <c r="BA29" s="154"/>
      <c r="BB29" s="154"/>
      <c r="BC29" s="154"/>
      <c r="BD29" s="154"/>
      <c r="BE29" s="154"/>
      <c r="BF29" s="154"/>
      <c r="BG29" s="154"/>
      <c r="BH29" s="154"/>
      <c r="BI29" s="154"/>
      <c r="BJ29" s="154"/>
      <c r="BK29" s="154"/>
      <c r="BL29" s="154"/>
      <c r="BM29" s="154"/>
      <c r="BN29" s="154"/>
      <c r="BO29" s="154"/>
      <c r="BP29" s="154"/>
      <c r="BQ29" s="154"/>
      <c r="BR29" s="154"/>
      <c r="BS29" s="154"/>
      <c r="BT29" s="154"/>
      <c r="BU29" s="154"/>
      <c r="BV29" s="154"/>
      <c r="BW29" s="154"/>
      <c r="BX29" s="154"/>
      <c r="BY29" s="154"/>
      <c r="BZ29" s="155"/>
      <c r="CA29" s="145"/>
      <c r="CB29" s="146"/>
      <c r="CC29" s="146"/>
      <c r="CD29" s="146"/>
      <c r="CE29" s="146"/>
      <c r="CF29" s="146"/>
      <c r="CG29" s="146"/>
      <c r="CH29" s="146"/>
      <c r="CI29" s="146"/>
      <c r="CJ29" s="146"/>
      <c r="CK29" s="146"/>
      <c r="CL29" s="146"/>
      <c r="CM29" s="146"/>
      <c r="CN29" s="146"/>
      <c r="CO29" s="146"/>
      <c r="CP29" s="146"/>
      <c r="CQ29" s="146"/>
      <c r="CR29" s="146"/>
      <c r="CS29" s="146"/>
      <c r="CT29" s="146"/>
      <c r="CU29" s="146"/>
      <c r="CV29" s="146"/>
      <c r="CW29" s="146"/>
      <c r="CX29" s="146"/>
      <c r="CY29" s="146"/>
      <c r="CZ29" s="146"/>
      <c r="DA29" s="146"/>
      <c r="DB29" s="146"/>
      <c r="DC29" s="146"/>
      <c r="DD29" s="146"/>
      <c r="DE29" s="146"/>
      <c r="DF29" s="146"/>
      <c r="DG29" s="146"/>
      <c r="DH29" s="146"/>
      <c r="DI29" s="146"/>
      <c r="DJ29" s="146"/>
      <c r="DK29" s="146"/>
      <c r="DL29" s="146"/>
      <c r="DM29" s="146"/>
      <c r="DN29" s="146"/>
      <c r="DO29" s="146"/>
      <c r="DP29" s="146"/>
      <c r="DQ29" s="146"/>
      <c r="DR29" s="146"/>
      <c r="DS29" s="146"/>
      <c r="DT29" s="146"/>
      <c r="DU29" s="146"/>
      <c r="DV29" s="146"/>
      <c r="DW29" s="146"/>
      <c r="DX29" s="146"/>
      <c r="DY29" s="146"/>
      <c r="DZ29" s="146"/>
      <c r="EA29" s="146"/>
      <c r="EB29" s="146"/>
      <c r="EC29" s="146"/>
      <c r="ED29" s="146"/>
      <c r="EE29" s="146"/>
      <c r="EF29" s="146"/>
      <c r="EG29" s="146"/>
      <c r="EH29" s="146"/>
      <c r="EI29" s="146"/>
      <c r="EJ29" s="146"/>
      <c r="EK29" s="146"/>
      <c r="EL29" s="146"/>
      <c r="EM29" s="146"/>
      <c r="EN29" s="146"/>
      <c r="EO29" s="146"/>
      <c r="EP29" s="146"/>
      <c r="EQ29" s="146"/>
      <c r="ER29" s="146"/>
      <c r="ES29" s="146"/>
      <c r="ET29" s="146"/>
      <c r="EU29" s="146"/>
      <c r="EV29" s="146"/>
      <c r="EW29" s="146"/>
      <c r="EX29" s="146"/>
      <c r="EY29" s="147"/>
      <c r="EZ29" s="45"/>
    </row>
    <row r="30" spans="1:156" ht="20.100000000000001" customHeight="1" x14ac:dyDescent="0.3">
      <c r="A30" s="44"/>
      <c r="B30" s="31"/>
      <c r="C30" s="151"/>
      <c r="D30" s="152"/>
      <c r="E30" s="153" t="s">
        <v>80</v>
      </c>
      <c r="F30" s="154"/>
      <c r="G30" s="154"/>
      <c r="H30" s="154"/>
      <c r="I30" s="154"/>
      <c r="J30" s="154"/>
      <c r="K30" s="154"/>
      <c r="L30" s="154"/>
      <c r="M30" s="154"/>
      <c r="N30" s="154"/>
      <c r="O30" s="154"/>
      <c r="P30" s="154"/>
      <c r="Q30" s="154"/>
      <c r="R30" s="154"/>
      <c r="S30" s="154"/>
      <c r="T30" s="154"/>
      <c r="U30" s="154"/>
      <c r="V30" s="154"/>
      <c r="W30" s="154"/>
      <c r="X30" s="154"/>
      <c r="Y30" s="154"/>
      <c r="Z30" s="154"/>
      <c r="AA30" s="154"/>
      <c r="AB30" s="154"/>
      <c r="AC30" s="154"/>
      <c r="AD30" s="154"/>
      <c r="AE30" s="154"/>
      <c r="AF30" s="154"/>
      <c r="AG30" s="154"/>
      <c r="AH30" s="154"/>
      <c r="AI30" s="154"/>
      <c r="AJ30" s="154"/>
      <c r="AK30" s="154"/>
      <c r="AL30" s="154"/>
      <c r="AM30" s="154"/>
      <c r="AN30" s="154"/>
      <c r="AO30" s="156"/>
      <c r="AP30" s="151" t="s">
        <v>59</v>
      </c>
      <c r="AQ30" s="152"/>
      <c r="AR30" s="153" t="s">
        <v>81</v>
      </c>
      <c r="AS30" s="154"/>
      <c r="AT30" s="154"/>
      <c r="AU30" s="154"/>
      <c r="AV30" s="154"/>
      <c r="AW30" s="154"/>
      <c r="AX30" s="154"/>
      <c r="AY30" s="154"/>
      <c r="AZ30" s="154"/>
      <c r="BA30" s="154"/>
      <c r="BB30" s="154"/>
      <c r="BC30" s="154"/>
      <c r="BD30" s="154"/>
      <c r="BE30" s="154"/>
      <c r="BF30" s="154"/>
      <c r="BG30" s="154"/>
      <c r="BH30" s="154"/>
      <c r="BI30" s="154"/>
      <c r="BJ30" s="154"/>
      <c r="BK30" s="154"/>
      <c r="BL30" s="154"/>
      <c r="BM30" s="154"/>
      <c r="BN30" s="154"/>
      <c r="BO30" s="154"/>
      <c r="BP30" s="154"/>
      <c r="BQ30" s="154"/>
      <c r="BR30" s="154"/>
      <c r="BS30" s="154"/>
      <c r="BT30" s="154"/>
      <c r="BU30" s="154"/>
      <c r="BV30" s="154"/>
      <c r="BW30" s="154"/>
      <c r="BX30" s="154"/>
      <c r="BY30" s="154"/>
      <c r="BZ30" s="155"/>
      <c r="CA30" s="145"/>
      <c r="CB30" s="146"/>
      <c r="CC30" s="146"/>
      <c r="CD30" s="146"/>
      <c r="CE30" s="146"/>
      <c r="CF30" s="146"/>
      <c r="CG30" s="146"/>
      <c r="CH30" s="146"/>
      <c r="CI30" s="146"/>
      <c r="CJ30" s="146"/>
      <c r="CK30" s="146"/>
      <c r="CL30" s="146"/>
      <c r="CM30" s="146"/>
      <c r="CN30" s="146"/>
      <c r="CO30" s="146"/>
      <c r="CP30" s="146"/>
      <c r="CQ30" s="146"/>
      <c r="CR30" s="146"/>
      <c r="CS30" s="146"/>
      <c r="CT30" s="146"/>
      <c r="CU30" s="146"/>
      <c r="CV30" s="146"/>
      <c r="CW30" s="146"/>
      <c r="CX30" s="146"/>
      <c r="CY30" s="146"/>
      <c r="CZ30" s="146"/>
      <c r="DA30" s="146"/>
      <c r="DB30" s="146"/>
      <c r="DC30" s="146"/>
      <c r="DD30" s="146"/>
      <c r="DE30" s="146"/>
      <c r="DF30" s="146"/>
      <c r="DG30" s="146"/>
      <c r="DH30" s="146"/>
      <c r="DI30" s="146"/>
      <c r="DJ30" s="146"/>
      <c r="DK30" s="146"/>
      <c r="DL30" s="146"/>
      <c r="DM30" s="146"/>
      <c r="DN30" s="146"/>
      <c r="DO30" s="146"/>
      <c r="DP30" s="146"/>
      <c r="DQ30" s="146"/>
      <c r="DR30" s="146"/>
      <c r="DS30" s="146"/>
      <c r="DT30" s="146"/>
      <c r="DU30" s="146"/>
      <c r="DV30" s="146"/>
      <c r="DW30" s="146"/>
      <c r="DX30" s="146"/>
      <c r="DY30" s="146"/>
      <c r="DZ30" s="146"/>
      <c r="EA30" s="146"/>
      <c r="EB30" s="146"/>
      <c r="EC30" s="146"/>
      <c r="ED30" s="146"/>
      <c r="EE30" s="146"/>
      <c r="EF30" s="146"/>
      <c r="EG30" s="146"/>
      <c r="EH30" s="146"/>
      <c r="EI30" s="146"/>
      <c r="EJ30" s="146"/>
      <c r="EK30" s="146"/>
      <c r="EL30" s="146"/>
      <c r="EM30" s="146"/>
      <c r="EN30" s="146"/>
      <c r="EO30" s="146"/>
      <c r="EP30" s="146"/>
      <c r="EQ30" s="146"/>
      <c r="ER30" s="146"/>
      <c r="ES30" s="146"/>
      <c r="ET30" s="146"/>
      <c r="EU30" s="146"/>
      <c r="EV30" s="146"/>
      <c r="EW30" s="146"/>
      <c r="EX30" s="146"/>
      <c r="EY30" s="147"/>
      <c r="EZ30" s="45"/>
    </row>
    <row r="31" spans="1:156" ht="20.100000000000001" customHeight="1" x14ac:dyDescent="0.3">
      <c r="A31" s="44"/>
      <c r="B31" s="31"/>
      <c r="C31" s="151"/>
      <c r="D31" s="152"/>
      <c r="E31" s="153" t="s">
        <v>82</v>
      </c>
      <c r="F31" s="154"/>
      <c r="G31" s="154"/>
      <c r="H31" s="154"/>
      <c r="I31" s="154"/>
      <c r="J31" s="154"/>
      <c r="K31" s="154"/>
      <c r="L31" s="154"/>
      <c r="M31" s="154"/>
      <c r="N31" s="154"/>
      <c r="O31" s="154"/>
      <c r="P31" s="154"/>
      <c r="Q31" s="15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  <c r="AC31" s="154"/>
      <c r="AD31" s="154"/>
      <c r="AE31" s="154"/>
      <c r="AF31" s="154"/>
      <c r="AG31" s="154"/>
      <c r="AH31" s="154"/>
      <c r="AI31" s="154"/>
      <c r="AJ31" s="154"/>
      <c r="AK31" s="154"/>
      <c r="AL31" s="154"/>
      <c r="AM31" s="154"/>
      <c r="AN31" s="154"/>
      <c r="AO31" s="156"/>
      <c r="AP31" s="151"/>
      <c r="AQ31" s="152"/>
      <c r="AR31" s="153" t="s">
        <v>83</v>
      </c>
      <c r="AS31" s="154"/>
      <c r="AT31" s="154"/>
      <c r="AU31" s="154"/>
      <c r="AV31" s="154"/>
      <c r="AW31" s="154"/>
      <c r="AX31" s="154"/>
      <c r="AY31" s="154"/>
      <c r="AZ31" s="154"/>
      <c r="BA31" s="154"/>
      <c r="BB31" s="154"/>
      <c r="BC31" s="154"/>
      <c r="BD31" s="154"/>
      <c r="BE31" s="154"/>
      <c r="BF31" s="154"/>
      <c r="BG31" s="154"/>
      <c r="BH31" s="154"/>
      <c r="BI31" s="154"/>
      <c r="BJ31" s="154"/>
      <c r="BK31" s="154"/>
      <c r="BL31" s="154"/>
      <c r="BM31" s="154"/>
      <c r="BN31" s="154"/>
      <c r="BO31" s="154"/>
      <c r="BP31" s="154"/>
      <c r="BQ31" s="154"/>
      <c r="BR31" s="154"/>
      <c r="BS31" s="154"/>
      <c r="BT31" s="154"/>
      <c r="BU31" s="154"/>
      <c r="BV31" s="154"/>
      <c r="BW31" s="154"/>
      <c r="BX31" s="154"/>
      <c r="BY31" s="154"/>
      <c r="BZ31" s="155"/>
      <c r="CA31" s="145"/>
      <c r="CB31" s="146"/>
      <c r="CC31" s="146"/>
      <c r="CD31" s="146"/>
      <c r="CE31" s="146"/>
      <c r="CF31" s="146"/>
      <c r="CG31" s="146"/>
      <c r="CH31" s="146"/>
      <c r="CI31" s="146"/>
      <c r="CJ31" s="146"/>
      <c r="CK31" s="146"/>
      <c r="CL31" s="146"/>
      <c r="CM31" s="146"/>
      <c r="CN31" s="146"/>
      <c r="CO31" s="146"/>
      <c r="CP31" s="146"/>
      <c r="CQ31" s="146"/>
      <c r="CR31" s="146"/>
      <c r="CS31" s="146"/>
      <c r="CT31" s="146"/>
      <c r="CU31" s="146"/>
      <c r="CV31" s="146"/>
      <c r="CW31" s="146"/>
      <c r="CX31" s="146"/>
      <c r="CY31" s="146"/>
      <c r="CZ31" s="146"/>
      <c r="DA31" s="146"/>
      <c r="DB31" s="146"/>
      <c r="DC31" s="146"/>
      <c r="DD31" s="146"/>
      <c r="DE31" s="146"/>
      <c r="DF31" s="146"/>
      <c r="DG31" s="146"/>
      <c r="DH31" s="146"/>
      <c r="DI31" s="146"/>
      <c r="DJ31" s="146"/>
      <c r="DK31" s="146"/>
      <c r="DL31" s="146"/>
      <c r="DM31" s="146"/>
      <c r="DN31" s="146"/>
      <c r="DO31" s="146"/>
      <c r="DP31" s="146"/>
      <c r="DQ31" s="146"/>
      <c r="DR31" s="146"/>
      <c r="DS31" s="146"/>
      <c r="DT31" s="146"/>
      <c r="DU31" s="146"/>
      <c r="DV31" s="146"/>
      <c r="DW31" s="146"/>
      <c r="DX31" s="146"/>
      <c r="DY31" s="146"/>
      <c r="DZ31" s="146"/>
      <c r="EA31" s="146"/>
      <c r="EB31" s="146"/>
      <c r="EC31" s="146"/>
      <c r="ED31" s="146"/>
      <c r="EE31" s="146"/>
      <c r="EF31" s="146"/>
      <c r="EG31" s="146"/>
      <c r="EH31" s="146"/>
      <c r="EI31" s="146"/>
      <c r="EJ31" s="146"/>
      <c r="EK31" s="146"/>
      <c r="EL31" s="146"/>
      <c r="EM31" s="146"/>
      <c r="EN31" s="146"/>
      <c r="EO31" s="146"/>
      <c r="EP31" s="146"/>
      <c r="EQ31" s="146"/>
      <c r="ER31" s="146"/>
      <c r="ES31" s="146"/>
      <c r="ET31" s="146"/>
      <c r="EU31" s="146"/>
      <c r="EV31" s="146"/>
      <c r="EW31" s="146"/>
      <c r="EX31" s="146"/>
      <c r="EY31" s="147"/>
      <c r="EZ31" s="45"/>
    </row>
    <row r="32" spans="1:156" ht="20.100000000000001" customHeight="1" x14ac:dyDescent="0.3">
      <c r="A32" s="44"/>
      <c r="B32" s="31"/>
      <c r="C32" s="163" t="s">
        <v>59</v>
      </c>
      <c r="D32" s="164"/>
      <c r="E32" s="153" t="s">
        <v>84</v>
      </c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  <c r="AC32" s="154"/>
      <c r="AD32" s="154"/>
      <c r="AE32" s="154"/>
      <c r="AF32" s="154"/>
      <c r="AG32" s="154"/>
      <c r="AH32" s="154"/>
      <c r="AI32" s="154"/>
      <c r="AJ32" s="154"/>
      <c r="AK32" s="154"/>
      <c r="AL32" s="154"/>
      <c r="AM32" s="154"/>
      <c r="AN32" s="154"/>
      <c r="AO32" s="156"/>
      <c r="AP32" s="165"/>
      <c r="AQ32" s="165"/>
      <c r="AR32" s="153" t="s">
        <v>85</v>
      </c>
      <c r="AS32" s="154"/>
      <c r="AT32" s="154"/>
      <c r="AU32" s="154"/>
      <c r="AV32" s="154"/>
      <c r="AW32" s="154"/>
      <c r="AX32" s="154"/>
      <c r="AY32" s="154"/>
      <c r="AZ32" s="154"/>
      <c r="BA32" s="154"/>
      <c r="BB32" s="154"/>
      <c r="BC32" s="154"/>
      <c r="BD32" s="154"/>
      <c r="BE32" s="154"/>
      <c r="BF32" s="154"/>
      <c r="BG32" s="154"/>
      <c r="BH32" s="154"/>
      <c r="BI32" s="154"/>
      <c r="BJ32" s="154"/>
      <c r="BK32" s="154"/>
      <c r="BL32" s="154"/>
      <c r="BM32" s="154"/>
      <c r="BN32" s="154"/>
      <c r="BO32" s="154"/>
      <c r="BP32" s="154"/>
      <c r="BQ32" s="154"/>
      <c r="BR32" s="154"/>
      <c r="BS32" s="154"/>
      <c r="BT32" s="154"/>
      <c r="BU32" s="154"/>
      <c r="BV32" s="154"/>
      <c r="BW32" s="154"/>
      <c r="BX32" s="154"/>
      <c r="BY32" s="154"/>
      <c r="BZ32" s="155"/>
      <c r="CA32" s="145"/>
      <c r="CB32" s="146"/>
      <c r="CC32" s="146"/>
      <c r="CD32" s="146"/>
      <c r="CE32" s="146"/>
      <c r="CF32" s="146"/>
      <c r="CG32" s="146"/>
      <c r="CH32" s="146"/>
      <c r="CI32" s="146"/>
      <c r="CJ32" s="146"/>
      <c r="CK32" s="146"/>
      <c r="CL32" s="146"/>
      <c r="CM32" s="146"/>
      <c r="CN32" s="146"/>
      <c r="CO32" s="146"/>
      <c r="CP32" s="146"/>
      <c r="CQ32" s="146"/>
      <c r="CR32" s="146"/>
      <c r="CS32" s="146"/>
      <c r="CT32" s="146"/>
      <c r="CU32" s="146"/>
      <c r="CV32" s="146"/>
      <c r="CW32" s="146"/>
      <c r="CX32" s="146"/>
      <c r="CY32" s="146"/>
      <c r="CZ32" s="146"/>
      <c r="DA32" s="146"/>
      <c r="DB32" s="146"/>
      <c r="DC32" s="146"/>
      <c r="DD32" s="146"/>
      <c r="DE32" s="146"/>
      <c r="DF32" s="146"/>
      <c r="DG32" s="146"/>
      <c r="DH32" s="146"/>
      <c r="DI32" s="146"/>
      <c r="DJ32" s="146"/>
      <c r="DK32" s="146"/>
      <c r="DL32" s="146"/>
      <c r="DM32" s="146"/>
      <c r="DN32" s="146"/>
      <c r="DO32" s="146"/>
      <c r="DP32" s="146"/>
      <c r="DQ32" s="146"/>
      <c r="DR32" s="146"/>
      <c r="DS32" s="146"/>
      <c r="DT32" s="146"/>
      <c r="DU32" s="146"/>
      <c r="DV32" s="146"/>
      <c r="DW32" s="146"/>
      <c r="DX32" s="146"/>
      <c r="DY32" s="146"/>
      <c r="DZ32" s="146"/>
      <c r="EA32" s="146"/>
      <c r="EB32" s="146"/>
      <c r="EC32" s="146"/>
      <c r="ED32" s="146"/>
      <c r="EE32" s="146"/>
      <c r="EF32" s="146"/>
      <c r="EG32" s="146"/>
      <c r="EH32" s="146"/>
      <c r="EI32" s="146"/>
      <c r="EJ32" s="146"/>
      <c r="EK32" s="146"/>
      <c r="EL32" s="146"/>
      <c r="EM32" s="146"/>
      <c r="EN32" s="146"/>
      <c r="EO32" s="146"/>
      <c r="EP32" s="146"/>
      <c r="EQ32" s="146"/>
      <c r="ER32" s="146"/>
      <c r="ES32" s="146"/>
      <c r="ET32" s="146"/>
      <c r="EU32" s="146"/>
      <c r="EV32" s="146"/>
      <c r="EW32" s="146"/>
      <c r="EX32" s="146"/>
      <c r="EY32" s="147"/>
      <c r="EZ32" s="45"/>
    </row>
    <row r="33" spans="1:156" ht="15.6" x14ac:dyDescent="0.3">
      <c r="A33" s="39"/>
      <c r="B33" s="32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4"/>
      <c r="CA33" s="148"/>
      <c r="CB33" s="149"/>
      <c r="CC33" s="149"/>
      <c r="CD33" s="149"/>
      <c r="CE33" s="149"/>
      <c r="CF33" s="149"/>
      <c r="CG33" s="149"/>
      <c r="CH33" s="149"/>
      <c r="CI33" s="149"/>
      <c r="CJ33" s="149"/>
      <c r="CK33" s="149"/>
      <c r="CL33" s="149"/>
      <c r="CM33" s="149"/>
      <c r="CN33" s="149"/>
      <c r="CO33" s="149"/>
      <c r="CP33" s="149"/>
      <c r="CQ33" s="149"/>
      <c r="CR33" s="149"/>
      <c r="CS33" s="149"/>
      <c r="CT33" s="149"/>
      <c r="CU33" s="149"/>
      <c r="CV33" s="149"/>
      <c r="CW33" s="149"/>
      <c r="CX33" s="149"/>
      <c r="CY33" s="149"/>
      <c r="CZ33" s="149"/>
      <c r="DA33" s="149"/>
      <c r="DB33" s="149"/>
      <c r="DC33" s="149"/>
      <c r="DD33" s="149"/>
      <c r="DE33" s="149"/>
      <c r="DF33" s="149"/>
      <c r="DG33" s="149"/>
      <c r="DH33" s="149"/>
      <c r="DI33" s="149"/>
      <c r="DJ33" s="149"/>
      <c r="DK33" s="149"/>
      <c r="DL33" s="149"/>
      <c r="DM33" s="149"/>
      <c r="DN33" s="149"/>
      <c r="DO33" s="149"/>
      <c r="DP33" s="149"/>
      <c r="DQ33" s="149"/>
      <c r="DR33" s="149"/>
      <c r="DS33" s="149"/>
      <c r="DT33" s="149"/>
      <c r="DU33" s="149"/>
      <c r="DV33" s="149"/>
      <c r="DW33" s="149"/>
      <c r="DX33" s="149"/>
      <c r="DY33" s="149"/>
      <c r="DZ33" s="149"/>
      <c r="EA33" s="149"/>
      <c r="EB33" s="149"/>
      <c r="EC33" s="149"/>
      <c r="ED33" s="149"/>
      <c r="EE33" s="149"/>
      <c r="EF33" s="149"/>
      <c r="EG33" s="149"/>
      <c r="EH33" s="149"/>
      <c r="EI33" s="149"/>
      <c r="EJ33" s="149"/>
      <c r="EK33" s="149"/>
      <c r="EL33" s="149"/>
      <c r="EM33" s="149"/>
      <c r="EN33" s="149"/>
      <c r="EO33" s="149"/>
      <c r="EP33" s="149"/>
      <c r="EQ33" s="149"/>
      <c r="ER33" s="149"/>
      <c r="ES33" s="149"/>
      <c r="ET33" s="149"/>
      <c r="EU33" s="149"/>
      <c r="EV33" s="149"/>
      <c r="EW33" s="149"/>
      <c r="EX33" s="149"/>
      <c r="EY33" s="150"/>
      <c r="EZ33" s="40"/>
    </row>
    <row r="34" spans="1:156" ht="15.6" x14ac:dyDescent="0.3">
      <c r="A34" s="39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46"/>
      <c r="CB34" s="46"/>
      <c r="CC34" s="46"/>
      <c r="CD34" s="46"/>
      <c r="CE34" s="46"/>
      <c r="CF34" s="46"/>
      <c r="CG34" s="46"/>
      <c r="CH34" s="46"/>
      <c r="CI34" s="46"/>
      <c r="CJ34" s="46"/>
      <c r="CK34" s="46"/>
      <c r="CL34" s="46"/>
      <c r="CM34" s="46"/>
      <c r="CN34" s="46"/>
      <c r="CO34" s="46"/>
      <c r="CP34" s="46"/>
      <c r="CQ34" s="46"/>
      <c r="CR34" s="46"/>
      <c r="CS34" s="46"/>
      <c r="CT34" s="46"/>
      <c r="CU34" s="46"/>
      <c r="CV34" s="46"/>
      <c r="CW34" s="46"/>
      <c r="CX34" s="46"/>
      <c r="CY34" s="46"/>
      <c r="CZ34" s="46"/>
      <c r="DA34" s="46"/>
      <c r="DB34" s="46"/>
      <c r="DC34" s="46"/>
      <c r="DD34" s="46"/>
      <c r="DE34" s="46"/>
      <c r="DF34" s="46"/>
      <c r="DG34" s="46"/>
      <c r="DH34" s="46"/>
      <c r="DI34" s="46"/>
      <c r="DJ34" s="46"/>
      <c r="DK34" s="46"/>
      <c r="DL34" s="46"/>
      <c r="DM34" s="46"/>
      <c r="DN34" s="46"/>
      <c r="DO34" s="46"/>
      <c r="DP34" s="46"/>
      <c r="DQ34" s="46"/>
      <c r="DR34" s="46"/>
      <c r="DS34" s="46"/>
      <c r="DT34" s="46"/>
      <c r="DU34" s="46"/>
      <c r="DV34" s="46"/>
      <c r="DW34" s="46"/>
      <c r="DX34" s="46"/>
      <c r="DY34" s="46"/>
      <c r="DZ34" s="46"/>
      <c r="EA34" s="46"/>
      <c r="EB34" s="46"/>
      <c r="EC34" s="46"/>
      <c r="ED34" s="46"/>
      <c r="EE34" s="46"/>
      <c r="EF34" s="46"/>
      <c r="EG34" s="46"/>
      <c r="EH34" s="46"/>
      <c r="EI34" s="46"/>
      <c r="EJ34" s="46"/>
      <c r="EK34" s="46"/>
      <c r="EL34" s="46"/>
      <c r="EM34" s="46"/>
      <c r="EN34" s="46"/>
      <c r="EO34" s="46"/>
      <c r="EP34" s="46"/>
      <c r="EQ34" s="46"/>
      <c r="ER34" s="46"/>
      <c r="ES34" s="46"/>
      <c r="ET34" s="46"/>
      <c r="EU34" s="46"/>
      <c r="EV34" s="46"/>
      <c r="EW34" s="46"/>
      <c r="EX34" s="46"/>
      <c r="EY34" s="46"/>
      <c r="EZ34" s="40"/>
    </row>
    <row r="35" spans="1:156" ht="23.1" customHeight="1" x14ac:dyDescent="0.3">
      <c r="A35" s="39"/>
      <c r="B35" s="197" t="s">
        <v>86</v>
      </c>
      <c r="C35" s="198"/>
      <c r="D35" s="198"/>
      <c r="E35" s="198"/>
      <c r="F35" s="198"/>
      <c r="G35" s="198"/>
      <c r="H35" s="198"/>
      <c r="I35" s="198"/>
      <c r="J35" s="198"/>
      <c r="K35" s="198"/>
      <c r="L35" s="198"/>
      <c r="M35" s="198"/>
      <c r="N35" s="198"/>
      <c r="O35" s="198"/>
      <c r="P35" s="198"/>
      <c r="Q35" s="198"/>
      <c r="R35" s="198"/>
      <c r="S35" s="198"/>
      <c r="T35" s="198"/>
      <c r="U35" s="198"/>
      <c r="V35" s="198"/>
      <c r="W35" s="198"/>
      <c r="X35" s="198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  <c r="AS35" s="198"/>
      <c r="AT35" s="198"/>
      <c r="AU35" s="198"/>
      <c r="AV35" s="198"/>
      <c r="AW35" s="198"/>
      <c r="AX35" s="198"/>
      <c r="AY35" s="198"/>
      <c r="AZ35" s="198"/>
      <c r="BA35" s="198"/>
      <c r="BB35" s="198"/>
      <c r="BC35" s="198"/>
      <c r="BD35" s="198"/>
      <c r="BE35" s="198"/>
      <c r="BF35" s="198"/>
      <c r="BG35" s="198"/>
      <c r="BH35" s="198"/>
      <c r="BI35" s="198"/>
      <c r="BJ35" s="198"/>
      <c r="BK35" s="198"/>
      <c r="BL35" s="198"/>
      <c r="BM35" s="198"/>
      <c r="BN35" s="198"/>
      <c r="BO35" s="199"/>
      <c r="BP35" s="197">
        <v>10</v>
      </c>
      <c r="BQ35" s="198"/>
      <c r="BR35" s="198"/>
      <c r="BS35" s="198"/>
      <c r="BT35" s="198"/>
      <c r="BU35" s="198"/>
      <c r="BV35" s="198"/>
      <c r="BW35" s="198"/>
      <c r="BX35" s="198"/>
      <c r="BY35" s="199"/>
      <c r="BZ35" s="1"/>
      <c r="CA35" s="46"/>
      <c r="CB35" s="213" t="s">
        <v>87</v>
      </c>
      <c r="CC35" s="214"/>
      <c r="CD35" s="214"/>
      <c r="CE35" s="214"/>
      <c r="CF35" s="214"/>
      <c r="CG35" s="214"/>
      <c r="CH35" s="214"/>
      <c r="CI35" s="214"/>
      <c r="CJ35" s="214"/>
      <c r="CK35" s="214"/>
      <c r="CL35" s="214"/>
      <c r="CM35" s="214"/>
      <c r="CN35" s="214"/>
      <c r="CO35" s="214"/>
      <c r="CP35" s="214"/>
      <c r="CQ35" s="214"/>
      <c r="CR35" s="214"/>
      <c r="CS35" s="214"/>
      <c r="CT35" s="214"/>
      <c r="CU35" s="214"/>
      <c r="CV35" s="214"/>
      <c r="CW35" s="214"/>
      <c r="CX35" s="214"/>
      <c r="CY35" s="214"/>
      <c r="CZ35" s="214"/>
      <c r="DA35" s="214"/>
      <c r="DB35" s="214"/>
      <c r="DC35" s="214"/>
      <c r="DD35" s="214"/>
      <c r="DE35" s="214"/>
      <c r="DF35" s="214"/>
      <c r="DG35" s="214"/>
      <c r="DH35" s="214"/>
      <c r="DI35" s="214"/>
      <c r="DJ35" s="214"/>
      <c r="DK35" s="214"/>
      <c r="DL35" s="214"/>
      <c r="DM35" s="214"/>
      <c r="DN35" s="214"/>
      <c r="DO35" s="214"/>
      <c r="DP35" s="214"/>
      <c r="DQ35" s="214"/>
      <c r="DR35" s="214"/>
      <c r="DS35" s="214"/>
      <c r="DT35" s="214"/>
      <c r="DU35" s="214"/>
      <c r="DV35" s="214"/>
      <c r="DW35" s="214"/>
      <c r="DX35" s="214"/>
      <c r="DY35" s="214"/>
      <c r="DZ35" s="214"/>
      <c r="EA35" s="214"/>
      <c r="EB35" s="214"/>
      <c r="EC35" s="214"/>
      <c r="ED35" s="214"/>
      <c r="EE35" s="214"/>
      <c r="EF35" s="215"/>
      <c r="EG35" s="213">
        <v>33</v>
      </c>
      <c r="EH35" s="214"/>
      <c r="EI35" s="214"/>
      <c r="EJ35" s="214"/>
      <c r="EK35" s="214"/>
      <c r="EL35" s="214"/>
      <c r="EM35" s="214"/>
      <c r="EN35" s="214"/>
      <c r="EO35" s="214"/>
      <c r="EP35" s="214"/>
      <c r="EQ35" s="214"/>
      <c r="ER35" s="214"/>
      <c r="ES35" s="214"/>
      <c r="ET35" s="214"/>
      <c r="EU35" s="214"/>
      <c r="EV35" s="214"/>
      <c r="EW35" s="214"/>
      <c r="EX35" s="214"/>
      <c r="EY35" s="215"/>
      <c r="EZ35" s="40"/>
    </row>
    <row r="36" spans="1:156" ht="15.6" x14ac:dyDescent="0.3">
      <c r="A36" s="39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40"/>
    </row>
    <row r="37" spans="1:156" ht="15.6" x14ac:dyDescent="0.3">
      <c r="A37" s="39"/>
      <c r="B37" s="69" t="s">
        <v>88</v>
      </c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70"/>
      <c r="BL37" s="70"/>
      <c r="BM37" s="70"/>
      <c r="BN37" s="70"/>
      <c r="BO37" s="70"/>
      <c r="BP37" s="70"/>
      <c r="BQ37" s="70"/>
      <c r="BR37" s="70"/>
      <c r="BS37" s="70"/>
      <c r="BT37" s="70"/>
      <c r="BU37" s="70"/>
      <c r="BV37" s="70"/>
      <c r="BW37" s="70"/>
      <c r="BX37" s="70"/>
      <c r="BY37" s="76"/>
      <c r="BZ37" s="1"/>
      <c r="CA37" s="1"/>
      <c r="CB37" s="110" t="s">
        <v>89</v>
      </c>
      <c r="CC37" s="111"/>
      <c r="CD37" s="111"/>
      <c r="CE37" s="111"/>
      <c r="CF37" s="111"/>
      <c r="CG37" s="111"/>
      <c r="CH37" s="111"/>
      <c r="CI37" s="111"/>
      <c r="CJ37" s="111"/>
      <c r="CK37" s="111"/>
      <c r="CL37" s="111"/>
      <c r="CM37" s="111"/>
      <c r="CN37" s="111"/>
      <c r="CO37" s="111"/>
      <c r="CP37" s="111"/>
      <c r="CQ37" s="111"/>
      <c r="CR37" s="111"/>
      <c r="CS37" s="111"/>
      <c r="CT37" s="111"/>
      <c r="CU37" s="111"/>
      <c r="CV37" s="111"/>
      <c r="CW37" s="111"/>
      <c r="CX37" s="111"/>
      <c r="CY37" s="111"/>
      <c r="CZ37" s="139"/>
      <c r="DA37" s="110" t="s">
        <v>90</v>
      </c>
      <c r="DB37" s="111"/>
      <c r="DC37" s="111"/>
      <c r="DD37" s="111"/>
      <c r="DE37" s="111"/>
      <c r="DF37" s="111"/>
      <c r="DG37" s="111"/>
      <c r="DH37" s="111"/>
      <c r="DI37" s="111"/>
      <c r="DJ37" s="111"/>
      <c r="DK37" s="111"/>
      <c r="DL37" s="111"/>
      <c r="DM37" s="139"/>
      <c r="DN37" s="110" t="s">
        <v>91</v>
      </c>
      <c r="DO37" s="111"/>
      <c r="DP37" s="111"/>
      <c r="DQ37" s="111"/>
      <c r="DR37" s="111"/>
      <c r="DS37" s="111"/>
      <c r="DT37" s="111"/>
      <c r="DU37" s="111"/>
      <c r="DV37" s="111"/>
      <c r="DW37" s="111"/>
      <c r="DX37" s="111"/>
      <c r="DY37" s="111"/>
      <c r="DZ37" s="111"/>
      <c r="EA37" s="111"/>
      <c r="EB37" s="111"/>
      <c r="EC37" s="111"/>
      <c r="ED37" s="111"/>
      <c r="EE37" s="111"/>
      <c r="EF37" s="139"/>
      <c r="EG37" s="110" t="s">
        <v>92</v>
      </c>
      <c r="EH37" s="111"/>
      <c r="EI37" s="111"/>
      <c r="EJ37" s="111"/>
      <c r="EK37" s="111"/>
      <c r="EL37" s="111"/>
      <c r="EM37" s="111"/>
      <c r="EN37" s="111"/>
      <c r="EO37" s="111"/>
      <c r="EP37" s="111"/>
      <c r="EQ37" s="111"/>
      <c r="ER37" s="111"/>
      <c r="ES37" s="111"/>
      <c r="ET37" s="111"/>
      <c r="EU37" s="111"/>
      <c r="EV37" s="111"/>
      <c r="EW37" s="111"/>
      <c r="EX37" s="111"/>
      <c r="EY37" s="139"/>
      <c r="EZ37" s="40"/>
    </row>
    <row r="38" spans="1:156" ht="15.6" x14ac:dyDescent="0.3">
      <c r="A38" s="39"/>
      <c r="B38" s="187" t="s">
        <v>143</v>
      </c>
      <c r="C38" s="188"/>
      <c r="D38" s="188"/>
      <c r="E38" s="188"/>
      <c r="F38" s="188"/>
      <c r="G38" s="188"/>
      <c r="H38" s="188"/>
      <c r="I38" s="188"/>
      <c r="J38" s="188"/>
      <c r="K38" s="188"/>
      <c r="L38" s="188"/>
      <c r="M38" s="188"/>
      <c r="N38" s="188"/>
      <c r="O38" s="188"/>
      <c r="P38" s="188"/>
      <c r="Q38" s="188"/>
      <c r="R38" s="188"/>
      <c r="S38" s="188"/>
      <c r="T38" s="188"/>
      <c r="U38" s="188"/>
      <c r="V38" s="188"/>
      <c r="W38" s="188"/>
      <c r="X38" s="188"/>
      <c r="Y38" s="188"/>
      <c r="Z38" s="188"/>
      <c r="AA38" s="188"/>
      <c r="AB38" s="188"/>
      <c r="AC38" s="188"/>
      <c r="AD38" s="188"/>
      <c r="AE38" s="188"/>
      <c r="AF38" s="188"/>
      <c r="AG38" s="188"/>
      <c r="AH38" s="188"/>
      <c r="AI38" s="188"/>
      <c r="AJ38" s="188"/>
      <c r="AK38" s="188"/>
      <c r="AL38" s="188"/>
      <c r="AM38" s="188"/>
      <c r="AN38" s="188"/>
      <c r="AO38" s="188"/>
      <c r="AP38" s="188"/>
      <c r="AQ38" s="188"/>
      <c r="AR38" s="188"/>
      <c r="AS38" s="188"/>
      <c r="AT38" s="188"/>
      <c r="AU38" s="188"/>
      <c r="AV38" s="188"/>
      <c r="AW38" s="188"/>
      <c r="AX38" s="188"/>
      <c r="AY38" s="188"/>
      <c r="AZ38" s="188"/>
      <c r="BA38" s="188"/>
      <c r="BB38" s="188"/>
      <c r="BC38" s="188"/>
      <c r="BD38" s="188"/>
      <c r="BE38" s="188"/>
      <c r="BF38" s="188"/>
      <c r="BG38" s="188"/>
      <c r="BH38" s="188"/>
      <c r="BI38" s="188"/>
      <c r="BJ38" s="188"/>
      <c r="BK38" s="188"/>
      <c r="BL38" s="188"/>
      <c r="BM38" s="188"/>
      <c r="BN38" s="188"/>
      <c r="BO38" s="188"/>
      <c r="BP38" s="188"/>
      <c r="BQ38" s="188"/>
      <c r="BR38" s="188"/>
      <c r="BS38" s="188"/>
      <c r="BT38" s="188"/>
      <c r="BU38" s="188"/>
      <c r="BV38" s="188"/>
      <c r="BW38" s="188"/>
      <c r="BX38" s="188"/>
      <c r="BY38" s="189"/>
      <c r="BZ38" s="1"/>
      <c r="CA38" s="1"/>
      <c r="CB38" s="178"/>
      <c r="CC38" s="179"/>
      <c r="CD38" s="179"/>
      <c r="CE38" s="179"/>
      <c r="CF38" s="179"/>
      <c r="CG38" s="179"/>
      <c r="CH38" s="179"/>
      <c r="CI38" s="179"/>
      <c r="CJ38" s="179"/>
      <c r="CK38" s="179"/>
      <c r="CL38" s="179"/>
      <c r="CM38" s="179"/>
      <c r="CN38" s="179"/>
      <c r="CO38" s="179"/>
      <c r="CP38" s="179"/>
      <c r="CQ38" s="179"/>
      <c r="CR38" s="179"/>
      <c r="CS38" s="179"/>
      <c r="CT38" s="179"/>
      <c r="CU38" s="179"/>
      <c r="CV38" s="179"/>
      <c r="CW38" s="179"/>
      <c r="CX38" s="179"/>
      <c r="CY38" s="179"/>
      <c r="CZ38" s="180"/>
      <c r="DA38" s="178"/>
      <c r="DB38" s="179"/>
      <c r="DC38" s="179"/>
      <c r="DD38" s="179"/>
      <c r="DE38" s="179"/>
      <c r="DF38" s="179"/>
      <c r="DG38" s="179"/>
      <c r="DH38" s="179"/>
      <c r="DI38" s="179"/>
      <c r="DJ38" s="179"/>
      <c r="DK38" s="179"/>
      <c r="DL38" s="179"/>
      <c r="DM38" s="180"/>
      <c r="DN38" s="166"/>
      <c r="DO38" s="167"/>
      <c r="DP38" s="167"/>
      <c r="DQ38" s="167"/>
      <c r="DR38" s="167"/>
      <c r="DS38" s="167"/>
      <c r="DT38" s="167"/>
      <c r="DU38" s="167"/>
      <c r="DV38" s="167"/>
      <c r="DW38" s="167"/>
      <c r="DX38" s="167"/>
      <c r="DY38" s="167"/>
      <c r="DZ38" s="167"/>
      <c r="EA38" s="167"/>
      <c r="EB38" s="167"/>
      <c r="EC38" s="167"/>
      <c r="ED38" s="167"/>
      <c r="EE38" s="167"/>
      <c r="EF38" s="168"/>
      <c r="EG38" s="166"/>
      <c r="EH38" s="167"/>
      <c r="EI38" s="167"/>
      <c r="EJ38" s="167"/>
      <c r="EK38" s="167"/>
      <c r="EL38" s="167"/>
      <c r="EM38" s="167"/>
      <c r="EN38" s="167"/>
      <c r="EO38" s="167"/>
      <c r="EP38" s="167"/>
      <c r="EQ38" s="167"/>
      <c r="ER38" s="167"/>
      <c r="ES38" s="167"/>
      <c r="ET38" s="167"/>
      <c r="EU38" s="167"/>
      <c r="EV38" s="167"/>
      <c r="EW38" s="167"/>
      <c r="EX38" s="167"/>
      <c r="EY38" s="168"/>
      <c r="EZ38" s="40"/>
    </row>
    <row r="39" spans="1:156" ht="15.6" x14ac:dyDescent="0.3">
      <c r="A39" s="39"/>
      <c r="B39" s="190"/>
      <c r="C39" s="191"/>
      <c r="D39" s="191"/>
      <c r="E39" s="191"/>
      <c r="F39" s="191"/>
      <c r="G39" s="191"/>
      <c r="H39" s="191"/>
      <c r="I39" s="191"/>
      <c r="J39" s="191"/>
      <c r="K39" s="191"/>
      <c r="L39" s="191"/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191"/>
      <c r="AC39" s="191"/>
      <c r="AD39" s="191"/>
      <c r="AE39" s="191"/>
      <c r="AF39" s="191"/>
      <c r="AG39" s="191"/>
      <c r="AH39" s="191"/>
      <c r="AI39" s="191"/>
      <c r="AJ39" s="191"/>
      <c r="AK39" s="191"/>
      <c r="AL39" s="191"/>
      <c r="AM39" s="191"/>
      <c r="AN39" s="191"/>
      <c r="AO39" s="191"/>
      <c r="AP39" s="191"/>
      <c r="AQ39" s="191"/>
      <c r="AR39" s="191"/>
      <c r="AS39" s="191"/>
      <c r="AT39" s="191"/>
      <c r="AU39" s="191"/>
      <c r="AV39" s="191"/>
      <c r="AW39" s="191"/>
      <c r="AX39" s="191"/>
      <c r="AY39" s="191"/>
      <c r="AZ39" s="191"/>
      <c r="BA39" s="191"/>
      <c r="BB39" s="191"/>
      <c r="BC39" s="191"/>
      <c r="BD39" s="191"/>
      <c r="BE39" s="191"/>
      <c r="BF39" s="191"/>
      <c r="BG39" s="191"/>
      <c r="BH39" s="191"/>
      <c r="BI39" s="191"/>
      <c r="BJ39" s="191"/>
      <c r="BK39" s="191"/>
      <c r="BL39" s="191"/>
      <c r="BM39" s="191"/>
      <c r="BN39" s="191"/>
      <c r="BO39" s="191"/>
      <c r="BP39" s="191"/>
      <c r="BQ39" s="191"/>
      <c r="BR39" s="191"/>
      <c r="BS39" s="191"/>
      <c r="BT39" s="191"/>
      <c r="BU39" s="191"/>
      <c r="BV39" s="191"/>
      <c r="BW39" s="191"/>
      <c r="BX39" s="191"/>
      <c r="BY39" s="192"/>
      <c r="BZ39" s="1"/>
      <c r="CA39" s="1"/>
      <c r="CB39" s="181"/>
      <c r="CC39" s="182"/>
      <c r="CD39" s="182"/>
      <c r="CE39" s="182"/>
      <c r="CF39" s="182"/>
      <c r="CG39" s="182"/>
      <c r="CH39" s="182"/>
      <c r="CI39" s="182"/>
      <c r="CJ39" s="182"/>
      <c r="CK39" s="182"/>
      <c r="CL39" s="182"/>
      <c r="CM39" s="182"/>
      <c r="CN39" s="182"/>
      <c r="CO39" s="182"/>
      <c r="CP39" s="182"/>
      <c r="CQ39" s="182"/>
      <c r="CR39" s="182"/>
      <c r="CS39" s="182"/>
      <c r="CT39" s="182"/>
      <c r="CU39" s="182"/>
      <c r="CV39" s="182"/>
      <c r="CW39" s="182"/>
      <c r="CX39" s="182"/>
      <c r="CY39" s="182"/>
      <c r="CZ39" s="183"/>
      <c r="DA39" s="181"/>
      <c r="DB39" s="182"/>
      <c r="DC39" s="182"/>
      <c r="DD39" s="182"/>
      <c r="DE39" s="182"/>
      <c r="DF39" s="182"/>
      <c r="DG39" s="182"/>
      <c r="DH39" s="182"/>
      <c r="DI39" s="182"/>
      <c r="DJ39" s="182"/>
      <c r="DK39" s="182"/>
      <c r="DL39" s="182"/>
      <c r="DM39" s="183"/>
      <c r="DN39" s="169"/>
      <c r="DO39" s="170"/>
      <c r="DP39" s="170"/>
      <c r="DQ39" s="170"/>
      <c r="DR39" s="170"/>
      <c r="DS39" s="170"/>
      <c r="DT39" s="170"/>
      <c r="DU39" s="170"/>
      <c r="DV39" s="170"/>
      <c r="DW39" s="170"/>
      <c r="DX39" s="170"/>
      <c r="DY39" s="170"/>
      <c r="DZ39" s="170"/>
      <c r="EA39" s="170"/>
      <c r="EB39" s="170"/>
      <c r="EC39" s="170"/>
      <c r="ED39" s="170"/>
      <c r="EE39" s="170"/>
      <c r="EF39" s="171"/>
      <c r="EG39" s="169"/>
      <c r="EH39" s="170"/>
      <c r="EI39" s="170"/>
      <c r="EJ39" s="170"/>
      <c r="EK39" s="170"/>
      <c r="EL39" s="170"/>
      <c r="EM39" s="170"/>
      <c r="EN39" s="170"/>
      <c r="EO39" s="170"/>
      <c r="EP39" s="170"/>
      <c r="EQ39" s="170"/>
      <c r="ER39" s="170"/>
      <c r="ES39" s="170"/>
      <c r="ET39" s="170"/>
      <c r="EU39" s="170"/>
      <c r="EV39" s="170"/>
      <c r="EW39" s="170"/>
      <c r="EX39" s="170"/>
      <c r="EY39" s="171"/>
      <c r="EZ39" s="40"/>
    </row>
    <row r="40" spans="1:156" ht="15.6" x14ac:dyDescent="0.3">
      <c r="A40" s="39"/>
      <c r="B40" s="193"/>
      <c r="C40" s="194"/>
      <c r="D40" s="194"/>
      <c r="E40" s="194"/>
      <c r="F40" s="194"/>
      <c r="G40" s="194"/>
      <c r="H40" s="194"/>
      <c r="I40" s="194"/>
      <c r="J40" s="194"/>
      <c r="K40" s="194"/>
      <c r="L40" s="194"/>
      <c r="M40" s="194"/>
      <c r="N40" s="194"/>
      <c r="O40" s="194"/>
      <c r="P40" s="194"/>
      <c r="Q40" s="194"/>
      <c r="R40" s="194"/>
      <c r="S40" s="194"/>
      <c r="T40" s="194"/>
      <c r="U40" s="194"/>
      <c r="V40" s="194"/>
      <c r="W40" s="194"/>
      <c r="X40" s="194"/>
      <c r="Y40" s="194"/>
      <c r="Z40" s="194"/>
      <c r="AA40" s="194"/>
      <c r="AB40" s="194"/>
      <c r="AC40" s="194"/>
      <c r="AD40" s="194"/>
      <c r="AE40" s="194"/>
      <c r="AF40" s="194"/>
      <c r="AG40" s="194"/>
      <c r="AH40" s="194"/>
      <c r="AI40" s="194"/>
      <c r="AJ40" s="194"/>
      <c r="AK40" s="194"/>
      <c r="AL40" s="194"/>
      <c r="AM40" s="194"/>
      <c r="AN40" s="194"/>
      <c r="AO40" s="194"/>
      <c r="AP40" s="194"/>
      <c r="AQ40" s="194"/>
      <c r="AR40" s="194"/>
      <c r="AS40" s="194"/>
      <c r="AT40" s="194"/>
      <c r="AU40" s="194"/>
      <c r="AV40" s="194"/>
      <c r="AW40" s="194"/>
      <c r="AX40" s="194"/>
      <c r="AY40" s="194"/>
      <c r="AZ40" s="194"/>
      <c r="BA40" s="194"/>
      <c r="BB40" s="194"/>
      <c r="BC40" s="194"/>
      <c r="BD40" s="194"/>
      <c r="BE40" s="194"/>
      <c r="BF40" s="194"/>
      <c r="BG40" s="194"/>
      <c r="BH40" s="194"/>
      <c r="BI40" s="194"/>
      <c r="BJ40" s="194"/>
      <c r="BK40" s="194"/>
      <c r="BL40" s="194"/>
      <c r="BM40" s="194"/>
      <c r="BN40" s="194"/>
      <c r="BO40" s="194"/>
      <c r="BP40" s="194"/>
      <c r="BQ40" s="194"/>
      <c r="BR40" s="194"/>
      <c r="BS40" s="194"/>
      <c r="BT40" s="194"/>
      <c r="BU40" s="194"/>
      <c r="BV40" s="194"/>
      <c r="BW40" s="194"/>
      <c r="BX40" s="194"/>
      <c r="BY40" s="195"/>
      <c r="BZ40" s="1"/>
      <c r="CA40" s="1"/>
      <c r="CB40" s="184"/>
      <c r="CC40" s="185"/>
      <c r="CD40" s="185"/>
      <c r="CE40" s="185"/>
      <c r="CF40" s="185"/>
      <c r="CG40" s="185"/>
      <c r="CH40" s="185"/>
      <c r="CI40" s="185"/>
      <c r="CJ40" s="185"/>
      <c r="CK40" s="185"/>
      <c r="CL40" s="185"/>
      <c r="CM40" s="185"/>
      <c r="CN40" s="185"/>
      <c r="CO40" s="185"/>
      <c r="CP40" s="185"/>
      <c r="CQ40" s="185"/>
      <c r="CR40" s="185"/>
      <c r="CS40" s="185"/>
      <c r="CT40" s="185"/>
      <c r="CU40" s="185"/>
      <c r="CV40" s="185"/>
      <c r="CW40" s="185"/>
      <c r="CX40" s="185"/>
      <c r="CY40" s="185"/>
      <c r="CZ40" s="186"/>
      <c r="DA40" s="184"/>
      <c r="DB40" s="185"/>
      <c r="DC40" s="185"/>
      <c r="DD40" s="185"/>
      <c r="DE40" s="185"/>
      <c r="DF40" s="185"/>
      <c r="DG40" s="185"/>
      <c r="DH40" s="185"/>
      <c r="DI40" s="185"/>
      <c r="DJ40" s="185"/>
      <c r="DK40" s="185"/>
      <c r="DL40" s="185"/>
      <c r="DM40" s="186"/>
      <c r="DN40" s="172"/>
      <c r="DO40" s="173"/>
      <c r="DP40" s="173"/>
      <c r="DQ40" s="173"/>
      <c r="DR40" s="173"/>
      <c r="DS40" s="173"/>
      <c r="DT40" s="173"/>
      <c r="DU40" s="173"/>
      <c r="DV40" s="173"/>
      <c r="DW40" s="173"/>
      <c r="DX40" s="173"/>
      <c r="DY40" s="173"/>
      <c r="DZ40" s="173"/>
      <c r="EA40" s="173"/>
      <c r="EB40" s="173"/>
      <c r="EC40" s="173"/>
      <c r="ED40" s="173"/>
      <c r="EE40" s="173"/>
      <c r="EF40" s="174"/>
      <c r="EG40" s="172"/>
      <c r="EH40" s="173"/>
      <c r="EI40" s="173"/>
      <c r="EJ40" s="173"/>
      <c r="EK40" s="173"/>
      <c r="EL40" s="173"/>
      <c r="EM40" s="173"/>
      <c r="EN40" s="173"/>
      <c r="EO40" s="173"/>
      <c r="EP40" s="173"/>
      <c r="EQ40" s="173"/>
      <c r="ER40" s="173"/>
      <c r="ES40" s="173"/>
      <c r="ET40" s="173"/>
      <c r="EU40" s="173"/>
      <c r="EV40" s="173"/>
      <c r="EW40" s="173"/>
      <c r="EX40" s="173"/>
      <c r="EY40" s="174"/>
      <c r="EZ40" s="40"/>
    </row>
    <row r="41" spans="1:156" ht="15.6" x14ac:dyDescent="0.3">
      <c r="A41" s="39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40"/>
    </row>
    <row r="42" spans="1:156" ht="15.6" x14ac:dyDescent="0.3">
      <c r="A42" s="39"/>
      <c r="B42" s="69" t="s">
        <v>93</v>
      </c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6"/>
      <c r="Y42" s="69" t="s">
        <v>94</v>
      </c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0"/>
      <c r="BD42" s="70"/>
      <c r="BE42" s="70"/>
      <c r="BF42" s="70"/>
      <c r="BG42" s="70"/>
      <c r="BH42" s="70"/>
      <c r="BI42" s="70"/>
      <c r="BJ42" s="70"/>
      <c r="BK42" s="70"/>
      <c r="BL42" s="70"/>
      <c r="BM42" s="70"/>
      <c r="BN42" s="70"/>
      <c r="BO42" s="70"/>
      <c r="BP42" s="70"/>
      <c r="BQ42" s="70"/>
      <c r="BR42" s="70"/>
      <c r="BS42" s="70"/>
      <c r="BT42" s="70"/>
      <c r="BU42" s="70"/>
      <c r="BV42" s="70"/>
      <c r="BW42" s="70"/>
      <c r="BX42" s="70"/>
      <c r="BY42" s="76"/>
      <c r="BZ42" s="1"/>
      <c r="CA42" s="1"/>
      <c r="CB42" s="175" t="s">
        <v>95</v>
      </c>
      <c r="CC42" s="176"/>
      <c r="CD42" s="176"/>
      <c r="CE42" s="176"/>
      <c r="CF42" s="176"/>
      <c r="CG42" s="176"/>
      <c r="CH42" s="176"/>
      <c r="CI42" s="176"/>
      <c r="CJ42" s="176"/>
      <c r="CK42" s="176"/>
      <c r="CL42" s="176"/>
      <c r="CM42" s="176"/>
      <c r="CN42" s="176"/>
      <c r="CO42" s="176"/>
      <c r="CP42" s="176"/>
      <c r="CQ42" s="177"/>
      <c r="CR42" s="69">
        <v>2022</v>
      </c>
      <c r="CS42" s="70"/>
      <c r="CT42" s="70"/>
      <c r="CU42" s="70"/>
      <c r="CV42" s="70"/>
      <c r="CW42" s="70"/>
      <c r="CX42" s="70"/>
      <c r="CY42" s="70"/>
      <c r="CZ42" s="70"/>
      <c r="DA42" s="70"/>
      <c r="DB42" s="70"/>
      <c r="DC42" s="70"/>
      <c r="DD42" s="70"/>
      <c r="DE42" s="70"/>
      <c r="DF42" s="70"/>
      <c r="DG42" s="70"/>
      <c r="DH42" s="70"/>
      <c r="DI42" s="70"/>
      <c r="DJ42" s="70"/>
      <c r="DK42" s="71"/>
      <c r="DL42" s="69">
        <v>2023</v>
      </c>
      <c r="DM42" s="70"/>
      <c r="DN42" s="70"/>
      <c r="DO42" s="70"/>
      <c r="DP42" s="70"/>
      <c r="DQ42" s="70"/>
      <c r="DR42" s="70"/>
      <c r="DS42" s="70"/>
      <c r="DT42" s="70"/>
      <c r="DU42" s="70"/>
      <c r="DV42" s="70"/>
      <c r="DW42" s="70"/>
      <c r="DX42" s="70"/>
      <c r="DY42" s="70"/>
      <c r="DZ42" s="70"/>
      <c r="EA42" s="70"/>
      <c r="EB42" s="70"/>
      <c r="EC42" s="70"/>
      <c r="ED42" s="70"/>
      <c r="EE42" s="71"/>
      <c r="EF42" s="69">
        <v>2024</v>
      </c>
      <c r="EG42" s="70"/>
      <c r="EH42" s="70"/>
      <c r="EI42" s="70"/>
      <c r="EJ42" s="70"/>
      <c r="EK42" s="70"/>
      <c r="EL42" s="70"/>
      <c r="EM42" s="70"/>
      <c r="EN42" s="70"/>
      <c r="EO42" s="70"/>
      <c r="EP42" s="70"/>
      <c r="EQ42" s="70"/>
      <c r="ER42" s="70"/>
      <c r="ES42" s="70"/>
      <c r="ET42" s="70"/>
      <c r="EU42" s="70"/>
      <c r="EV42" s="70"/>
      <c r="EW42" s="70"/>
      <c r="EX42" s="70"/>
      <c r="EY42" s="71"/>
      <c r="EZ42" s="40"/>
    </row>
    <row r="43" spans="1:156" ht="15.9" customHeight="1" x14ac:dyDescent="0.3">
      <c r="A43" s="39"/>
      <c r="B43" s="59"/>
      <c r="C43" s="60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1"/>
      <c r="Y43" s="258"/>
      <c r="Z43" s="259"/>
      <c r="AA43" s="259"/>
      <c r="AB43" s="259"/>
      <c r="AC43" s="259"/>
      <c r="AD43" s="259"/>
      <c r="AE43" s="259"/>
      <c r="AF43" s="259"/>
      <c r="AG43" s="259"/>
      <c r="AH43" s="259"/>
      <c r="AI43" s="259"/>
      <c r="AJ43" s="259"/>
      <c r="AK43" s="259"/>
      <c r="AL43" s="259"/>
      <c r="AM43" s="259"/>
      <c r="AN43" s="259"/>
      <c r="AO43" s="259"/>
      <c r="AP43" s="259"/>
      <c r="AQ43" s="259"/>
      <c r="AR43" s="259"/>
      <c r="AS43" s="259"/>
      <c r="AT43" s="259"/>
      <c r="AU43" s="259"/>
      <c r="AV43" s="259"/>
      <c r="AW43" s="259"/>
      <c r="AX43" s="259"/>
      <c r="AY43" s="259"/>
      <c r="AZ43" s="259"/>
      <c r="BA43" s="259"/>
      <c r="BB43" s="259"/>
      <c r="BC43" s="259"/>
      <c r="BD43" s="259"/>
      <c r="BE43" s="259"/>
      <c r="BF43" s="259"/>
      <c r="BG43" s="259"/>
      <c r="BH43" s="259"/>
      <c r="BI43" s="259"/>
      <c r="BJ43" s="259"/>
      <c r="BK43" s="259"/>
      <c r="BL43" s="259"/>
      <c r="BM43" s="259"/>
      <c r="BN43" s="259"/>
      <c r="BO43" s="259"/>
      <c r="BP43" s="259"/>
      <c r="BQ43" s="259"/>
      <c r="BR43" s="259"/>
      <c r="BS43" s="259"/>
      <c r="BT43" s="259"/>
      <c r="BU43" s="259"/>
      <c r="BV43" s="259"/>
      <c r="BW43" s="259"/>
      <c r="BX43" s="259"/>
      <c r="BY43" s="260"/>
      <c r="BZ43" s="1"/>
      <c r="CA43" s="1"/>
      <c r="CB43" s="219" t="s">
        <v>96</v>
      </c>
      <c r="CC43" s="220"/>
      <c r="CD43" s="220"/>
      <c r="CE43" s="220"/>
      <c r="CF43" s="220"/>
      <c r="CG43" s="220"/>
      <c r="CH43" s="220"/>
      <c r="CI43" s="220"/>
      <c r="CJ43" s="220"/>
      <c r="CK43" s="220"/>
      <c r="CL43" s="220"/>
      <c r="CM43" s="220"/>
      <c r="CN43" s="220"/>
      <c r="CO43" s="220"/>
      <c r="CP43" s="220"/>
      <c r="CQ43" s="221"/>
      <c r="CR43" s="222"/>
      <c r="CS43" s="223"/>
      <c r="CT43" s="223"/>
      <c r="CU43" s="223"/>
      <c r="CV43" s="223"/>
      <c r="CW43" s="223"/>
      <c r="CX43" s="223"/>
      <c r="CY43" s="223"/>
      <c r="CZ43" s="223"/>
      <c r="DA43" s="223"/>
      <c r="DB43" s="223"/>
      <c r="DC43" s="223"/>
      <c r="DD43" s="223"/>
      <c r="DE43" s="223"/>
      <c r="DF43" s="223"/>
      <c r="DG43" s="223"/>
      <c r="DH43" s="223"/>
      <c r="DI43" s="223"/>
      <c r="DJ43" s="223"/>
      <c r="DK43" s="224"/>
      <c r="DL43" s="222"/>
      <c r="DM43" s="223"/>
      <c r="DN43" s="223"/>
      <c r="DO43" s="223"/>
      <c r="DP43" s="223"/>
      <c r="DQ43" s="223"/>
      <c r="DR43" s="223"/>
      <c r="DS43" s="223"/>
      <c r="DT43" s="223"/>
      <c r="DU43" s="223"/>
      <c r="DV43" s="223"/>
      <c r="DW43" s="223"/>
      <c r="DX43" s="223"/>
      <c r="DY43" s="223"/>
      <c r="DZ43" s="223"/>
      <c r="EA43" s="223"/>
      <c r="EB43" s="223"/>
      <c r="EC43" s="223"/>
      <c r="ED43" s="223"/>
      <c r="EE43" s="224"/>
      <c r="EF43" s="222"/>
      <c r="EG43" s="223"/>
      <c r="EH43" s="223"/>
      <c r="EI43" s="223"/>
      <c r="EJ43" s="223"/>
      <c r="EK43" s="223"/>
      <c r="EL43" s="223"/>
      <c r="EM43" s="223"/>
      <c r="EN43" s="223"/>
      <c r="EO43" s="223"/>
      <c r="EP43" s="223"/>
      <c r="EQ43" s="223"/>
      <c r="ER43" s="223"/>
      <c r="ES43" s="223"/>
      <c r="ET43" s="223"/>
      <c r="EU43" s="223"/>
      <c r="EV43" s="223"/>
      <c r="EW43" s="223"/>
      <c r="EX43" s="223"/>
      <c r="EY43" s="224"/>
      <c r="EZ43" s="40"/>
    </row>
    <row r="44" spans="1:156" ht="15.6" x14ac:dyDescent="0.3">
      <c r="A44" s="39"/>
      <c r="B44" s="62"/>
      <c r="C44" s="217"/>
      <c r="D44" s="218"/>
      <c r="E44" s="160" t="s">
        <v>56</v>
      </c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2"/>
      <c r="Y44" s="261"/>
      <c r="Z44" s="262"/>
      <c r="AA44" s="262"/>
      <c r="AB44" s="262"/>
      <c r="AC44" s="262"/>
      <c r="AD44" s="262"/>
      <c r="AE44" s="262"/>
      <c r="AF44" s="262"/>
      <c r="AG44" s="262"/>
      <c r="AH44" s="262"/>
      <c r="AI44" s="262"/>
      <c r="AJ44" s="262"/>
      <c r="AK44" s="262"/>
      <c r="AL44" s="262"/>
      <c r="AM44" s="262"/>
      <c r="AN44" s="262"/>
      <c r="AO44" s="262"/>
      <c r="AP44" s="262"/>
      <c r="AQ44" s="262"/>
      <c r="AR44" s="262"/>
      <c r="AS44" s="262"/>
      <c r="AT44" s="262"/>
      <c r="AU44" s="262"/>
      <c r="AV44" s="262"/>
      <c r="AW44" s="262"/>
      <c r="AX44" s="262"/>
      <c r="AY44" s="262"/>
      <c r="AZ44" s="262"/>
      <c r="BA44" s="262"/>
      <c r="BB44" s="262"/>
      <c r="BC44" s="262"/>
      <c r="BD44" s="262"/>
      <c r="BE44" s="262"/>
      <c r="BF44" s="262"/>
      <c r="BG44" s="262"/>
      <c r="BH44" s="262"/>
      <c r="BI44" s="262"/>
      <c r="BJ44" s="262"/>
      <c r="BK44" s="262"/>
      <c r="BL44" s="262"/>
      <c r="BM44" s="262"/>
      <c r="BN44" s="262"/>
      <c r="BO44" s="262"/>
      <c r="BP44" s="262"/>
      <c r="BQ44" s="262"/>
      <c r="BR44" s="262"/>
      <c r="BS44" s="262"/>
      <c r="BT44" s="262"/>
      <c r="BU44" s="262"/>
      <c r="BV44" s="262"/>
      <c r="BW44" s="262"/>
      <c r="BX44" s="262"/>
      <c r="BY44" s="263"/>
      <c r="BZ44" s="1"/>
      <c r="CA44" s="1"/>
      <c r="CB44" s="219" t="s">
        <v>97</v>
      </c>
      <c r="CC44" s="220"/>
      <c r="CD44" s="220"/>
      <c r="CE44" s="220"/>
      <c r="CF44" s="220"/>
      <c r="CG44" s="220"/>
      <c r="CH44" s="220"/>
      <c r="CI44" s="220"/>
      <c r="CJ44" s="220"/>
      <c r="CK44" s="220"/>
      <c r="CL44" s="220"/>
      <c r="CM44" s="220"/>
      <c r="CN44" s="220"/>
      <c r="CO44" s="220"/>
      <c r="CP44" s="220"/>
      <c r="CQ44" s="221"/>
      <c r="CR44" s="222"/>
      <c r="CS44" s="223"/>
      <c r="CT44" s="223"/>
      <c r="CU44" s="223"/>
      <c r="CV44" s="223"/>
      <c r="CW44" s="223"/>
      <c r="CX44" s="223"/>
      <c r="CY44" s="223"/>
      <c r="CZ44" s="223"/>
      <c r="DA44" s="223"/>
      <c r="DB44" s="223"/>
      <c r="DC44" s="223"/>
      <c r="DD44" s="223"/>
      <c r="DE44" s="223"/>
      <c r="DF44" s="223"/>
      <c r="DG44" s="223"/>
      <c r="DH44" s="223"/>
      <c r="DI44" s="223"/>
      <c r="DJ44" s="223"/>
      <c r="DK44" s="224"/>
      <c r="DL44" s="222"/>
      <c r="DM44" s="223"/>
      <c r="DN44" s="223"/>
      <c r="DO44" s="223"/>
      <c r="DP44" s="223"/>
      <c r="DQ44" s="223"/>
      <c r="DR44" s="223"/>
      <c r="DS44" s="223"/>
      <c r="DT44" s="223"/>
      <c r="DU44" s="223"/>
      <c r="DV44" s="223"/>
      <c r="DW44" s="223"/>
      <c r="DX44" s="223"/>
      <c r="DY44" s="223"/>
      <c r="DZ44" s="223"/>
      <c r="EA44" s="223"/>
      <c r="EB44" s="223"/>
      <c r="EC44" s="223"/>
      <c r="ED44" s="223"/>
      <c r="EE44" s="224"/>
      <c r="EF44" s="222"/>
      <c r="EG44" s="223"/>
      <c r="EH44" s="223"/>
      <c r="EI44" s="223"/>
      <c r="EJ44" s="223"/>
      <c r="EK44" s="223"/>
      <c r="EL44" s="223"/>
      <c r="EM44" s="223"/>
      <c r="EN44" s="223"/>
      <c r="EO44" s="223"/>
      <c r="EP44" s="223"/>
      <c r="EQ44" s="223"/>
      <c r="ER44" s="223"/>
      <c r="ES44" s="223"/>
      <c r="ET44" s="223"/>
      <c r="EU44" s="223"/>
      <c r="EV44" s="223"/>
      <c r="EW44" s="223"/>
      <c r="EX44" s="223"/>
      <c r="EY44" s="224"/>
      <c r="EZ44" s="40"/>
    </row>
    <row r="45" spans="1:156" ht="15.6" x14ac:dyDescent="0.3">
      <c r="A45" s="39"/>
      <c r="B45" s="62"/>
      <c r="C45" s="217"/>
      <c r="D45" s="218"/>
      <c r="E45" s="160" t="s">
        <v>98</v>
      </c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2"/>
      <c r="Y45" s="261"/>
      <c r="Z45" s="262"/>
      <c r="AA45" s="262"/>
      <c r="AB45" s="262"/>
      <c r="AC45" s="262"/>
      <c r="AD45" s="262"/>
      <c r="AE45" s="262"/>
      <c r="AF45" s="262"/>
      <c r="AG45" s="262"/>
      <c r="AH45" s="262"/>
      <c r="AI45" s="262"/>
      <c r="AJ45" s="262"/>
      <c r="AK45" s="262"/>
      <c r="AL45" s="262"/>
      <c r="AM45" s="262"/>
      <c r="AN45" s="262"/>
      <c r="AO45" s="262"/>
      <c r="AP45" s="262"/>
      <c r="AQ45" s="262"/>
      <c r="AR45" s="262"/>
      <c r="AS45" s="262"/>
      <c r="AT45" s="262"/>
      <c r="AU45" s="262"/>
      <c r="AV45" s="262"/>
      <c r="AW45" s="262"/>
      <c r="AX45" s="262"/>
      <c r="AY45" s="262"/>
      <c r="AZ45" s="262"/>
      <c r="BA45" s="262"/>
      <c r="BB45" s="262"/>
      <c r="BC45" s="262"/>
      <c r="BD45" s="262"/>
      <c r="BE45" s="262"/>
      <c r="BF45" s="262"/>
      <c r="BG45" s="262"/>
      <c r="BH45" s="262"/>
      <c r="BI45" s="262"/>
      <c r="BJ45" s="262"/>
      <c r="BK45" s="262"/>
      <c r="BL45" s="262"/>
      <c r="BM45" s="262"/>
      <c r="BN45" s="262"/>
      <c r="BO45" s="262"/>
      <c r="BP45" s="262"/>
      <c r="BQ45" s="262"/>
      <c r="BR45" s="262"/>
      <c r="BS45" s="262"/>
      <c r="BT45" s="262"/>
      <c r="BU45" s="262"/>
      <c r="BV45" s="262"/>
      <c r="BW45" s="262"/>
      <c r="BX45" s="262"/>
      <c r="BY45" s="263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47"/>
      <c r="CS45" s="48"/>
      <c r="CT45" s="48"/>
      <c r="CU45" s="48"/>
      <c r="CV45" s="48"/>
      <c r="CW45" s="48"/>
      <c r="CX45" s="48"/>
      <c r="CY45" s="48"/>
      <c r="CZ45" s="48"/>
      <c r="DA45" s="48"/>
      <c r="DB45" s="47"/>
      <c r="DC45" s="47"/>
      <c r="DD45" s="47"/>
      <c r="DE45" s="47"/>
      <c r="DF45" s="47"/>
      <c r="DG45" s="47"/>
      <c r="DH45" s="47"/>
      <c r="DI45" s="47"/>
      <c r="DJ45" s="47"/>
      <c r="DK45" s="47"/>
      <c r="DL45" s="49"/>
      <c r="DM45" s="49"/>
      <c r="DN45" s="49"/>
      <c r="DO45" s="49"/>
      <c r="DP45" s="49"/>
      <c r="DQ45" s="49"/>
      <c r="DR45" s="49"/>
      <c r="DS45" s="49"/>
      <c r="DT45" s="49"/>
      <c r="DU45" s="49"/>
      <c r="DV45" s="49"/>
      <c r="DW45" s="49"/>
      <c r="DX45" s="49"/>
      <c r="DY45" s="49"/>
      <c r="DZ45" s="49"/>
      <c r="EA45" s="49"/>
      <c r="EB45" s="49"/>
      <c r="EC45" s="49"/>
      <c r="ED45" s="49"/>
      <c r="EE45" s="49"/>
      <c r="EF45" s="49"/>
      <c r="EG45" s="49"/>
      <c r="EH45" s="49"/>
      <c r="EI45" s="49"/>
      <c r="EJ45" s="49"/>
      <c r="EK45" s="49"/>
      <c r="EL45" s="49"/>
      <c r="EM45" s="49"/>
      <c r="EN45" s="49"/>
      <c r="EO45" s="49"/>
      <c r="EP45" s="49"/>
      <c r="EQ45" s="49"/>
      <c r="ER45" s="49"/>
      <c r="ES45" s="49"/>
      <c r="ET45" s="49"/>
      <c r="EU45" s="49"/>
      <c r="EV45" s="49"/>
      <c r="EW45" s="49"/>
      <c r="EX45" s="49"/>
      <c r="EY45" s="49"/>
      <c r="EZ45" s="40"/>
    </row>
    <row r="46" spans="1:156" ht="15.6" x14ac:dyDescent="0.3">
      <c r="A46" s="39"/>
      <c r="B46" s="62"/>
      <c r="C46" s="217"/>
      <c r="D46" s="218"/>
      <c r="E46" s="160" t="s">
        <v>53</v>
      </c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2"/>
      <c r="Y46" s="261"/>
      <c r="Z46" s="262"/>
      <c r="AA46" s="262"/>
      <c r="AB46" s="262"/>
      <c r="AC46" s="262"/>
      <c r="AD46" s="262"/>
      <c r="AE46" s="262"/>
      <c r="AF46" s="262"/>
      <c r="AG46" s="262"/>
      <c r="AH46" s="262"/>
      <c r="AI46" s="262"/>
      <c r="AJ46" s="262"/>
      <c r="AK46" s="262"/>
      <c r="AL46" s="262"/>
      <c r="AM46" s="262"/>
      <c r="AN46" s="262"/>
      <c r="AO46" s="262"/>
      <c r="AP46" s="262"/>
      <c r="AQ46" s="262"/>
      <c r="AR46" s="262"/>
      <c r="AS46" s="262"/>
      <c r="AT46" s="262"/>
      <c r="AU46" s="262"/>
      <c r="AV46" s="262"/>
      <c r="AW46" s="262"/>
      <c r="AX46" s="262"/>
      <c r="AY46" s="262"/>
      <c r="AZ46" s="262"/>
      <c r="BA46" s="262"/>
      <c r="BB46" s="262"/>
      <c r="BC46" s="262"/>
      <c r="BD46" s="262"/>
      <c r="BE46" s="262"/>
      <c r="BF46" s="262"/>
      <c r="BG46" s="262"/>
      <c r="BH46" s="262"/>
      <c r="BI46" s="262"/>
      <c r="BJ46" s="262"/>
      <c r="BK46" s="262"/>
      <c r="BL46" s="262"/>
      <c r="BM46" s="262"/>
      <c r="BN46" s="262"/>
      <c r="BO46" s="262"/>
      <c r="BP46" s="262"/>
      <c r="BQ46" s="262"/>
      <c r="BR46" s="262"/>
      <c r="BS46" s="262"/>
      <c r="BT46" s="262"/>
      <c r="BU46" s="262"/>
      <c r="BV46" s="262"/>
      <c r="BW46" s="262"/>
      <c r="BX46" s="262"/>
      <c r="BY46" s="263"/>
      <c r="BZ46" s="1"/>
      <c r="CA46" s="1"/>
      <c r="CB46" s="196" t="s">
        <v>99</v>
      </c>
      <c r="CC46" s="196"/>
      <c r="CD46" s="196"/>
      <c r="CE46" s="196"/>
      <c r="CF46" s="196"/>
      <c r="CG46" s="196"/>
      <c r="CH46" s="196"/>
      <c r="CI46" s="196"/>
      <c r="CJ46" s="196"/>
      <c r="CK46" s="196"/>
      <c r="CL46" s="196"/>
      <c r="CM46" s="196"/>
      <c r="CN46" s="196"/>
      <c r="CO46" s="196"/>
      <c r="CP46" s="196"/>
      <c r="CQ46" s="196"/>
      <c r="CR46" s="196"/>
      <c r="CS46" s="196"/>
      <c r="CT46" s="196"/>
      <c r="CU46" s="196"/>
      <c r="CV46" s="196"/>
      <c r="CW46" s="196"/>
      <c r="CX46" s="196"/>
      <c r="CY46" s="196"/>
      <c r="CZ46" s="196"/>
      <c r="DA46" s="196"/>
      <c r="DB46" s="196"/>
      <c r="DC46" s="196"/>
      <c r="DD46" s="196"/>
      <c r="DE46" s="196"/>
      <c r="DF46" s="196"/>
      <c r="DG46" s="196"/>
      <c r="DH46" s="196"/>
      <c r="DI46" s="196"/>
      <c r="DJ46" s="196"/>
      <c r="DK46" s="196"/>
      <c r="DL46" s="196"/>
      <c r="DM46" s="196"/>
      <c r="DN46" s="196"/>
      <c r="DO46" s="196"/>
      <c r="DP46" s="196"/>
      <c r="DQ46" s="196"/>
      <c r="DR46" s="196"/>
      <c r="DS46" s="196"/>
      <c r="DT46" s="196"/>
      <c r="DU46" s="196"/>
      <c r="DV46" s="196"/>
      <c r="DW46" s="196"/>
      <c r="DX46" s="196"/>
      <c r="DY46" s="196"/>
      <c r="DZ46" s="196"/>
      <c r="EA46" s="196"/>
      <c r="EB46" s="196"/>
      <c r="EC46" s="196"/>
      <c r="ED46" s="196"/>
      <c r="EE46" s="196"/>
      <c r="EF46" s="196"/>
      <c r="EG46" s="196"/>
      <c r="EH46" s="196"/>
      <c r="EI46" s="196"/>
      <c r="EJ46" s="196"/>
      <c r="EK46" s="196"/>
      <c r="EL46" s="196"/>
      <c r="EM46" s="196"/>
      <c r="EN46" s="196"/>
      <c r="EO46" s="196"/>
      <c r="EP46" s="196"/>
      <c r="EQ46" s="196"/>
      <c r="ER46" s="196"/>
      <c r="ES46" s="196"/>
      <c r="ET46" s="196"/>
      <c r="EU46" s="196"/>
      <c r="EV46" s="196"/>
      <c r="EW46" s="196"/>
      <c r="EX46" s="196"/>
      <c r="EY46" s="196"/>
      <c r="EZ46" s="40"/>
    </row>
    <row r="47" spans="1:156" ht="15.6" customHeight="1" x14ac:dyDescent="0.3">
      <c r="A47" s="39"/>
      <c r="B47" s="62"/>
      <c r="C47" s="217"/>
      <c r="D47" s="218"/>
      <c r="E47" s="160" t="s">
        <v>100</v>
      </c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2"/>
      <c r="Y47" s="261"/>
      <c r="Z47" s="262"/>
      <c r="AA47" s="262"/>
      <c r="AB47" s="262"/>
      <c r="AC47" s="262"/>
      <c r="AD47" s="262"/>
      <c r="AE47" s="262"/>
      <c r="AF47" s="262"/>
      <c r="AG47" s="262"/>
      <c r="AH47" s="262"/>
      <c r="AI47" s="262"/>
      <c r="AJ47" s="262"/>
      <c r="AK47" s="262"/>
      <c r="AL47" s="262"/>
      <c r="AM47" s="262"/>
      <c r="AN47" s="262"/>
      <c r="AO47" s="262"/>
      <c r="AP47" s="262"/>
      <c r="AQ47" s="262"/>
      <c r="AR47" s="262"/>
      <c r="AS47" s="262"/>
      <c r="AT47" s="262"/>
      <c r="AU47" s="262"/>
      <c r="AV47" s="262"/>
      <c r="AW47" s="262"/>
      <c r="AX47" s="262"/>
      <c r="AY47" s="262"/>
      <c r="AZ47" s="262"/>
      <c r="BA47" s="262"/>
      <c r="BB47" s="262"/>
      <c r="BC47" s="262"/>
      <c r="BD47" s="262"/>
      <c r="BE47" s="262"/>
      <c r="BF47" s="262"/>
      <c r="BG47" s="262"/>
      <c r="BH47" s="262"/>
      <c r="BI47" s="262"/>
      <c r="BJ47" s="262"/>
      <c r="BK47" s="262"/>
      <c r="BL47" s="262"/>
      <c r="BM47" s="262"/>
      <c r="BN47" s="262"/>
      <c r="BO47" s="262"/>
      <c r="BP47" s="262"/>
      <c r="BQ47" s="262"/>
      <c r="BR47" s="262"/>
      <c r="BS47" s="262"/>
      <c r="BT47" s="262"/>
      <c r="BU47" s="262"/>
      <c r="BV47" s="262"/>
      <c r="BW47" s="262"/>
      <c r="BX47" s="262"/>
      <c r="BY47" s="263"/>
      <c r="BZ47" s="1"/>
      <c r="CA47" s="1"/>
      <c r="CB47" s="216"/>
      <c r="CC47" s="216"/>
      <c r="CD47" s="216"/>
      <c r="CE47" s="216"/>
      <c r="CF47" s="216"/>
      <c r="CG47" s="216"/>
      <c r="CH47" s="216"/>
      <c r="CI47" s="216"/>
      <c r="CJ47" s="216"/>
      <c r="CK47" s="216"/>
      <c r="CL47" s="216"/>
      <c r="CM47" s="216"/>
      <c r="CN47" s="216"/>
      <c r="CO47" s="216"/>
      <c r="CP47" s="216"/>
      <c r="CQ47" s="216"/>
      <c r="CR47" s="216"/>
      <c r="CS47" s="216"/>
      <c r="CT47" s="216"/>
      <c r="CU47" s="216"/>
      <c r="CV47" s="216"/>
      <c r="CW47" s="216"/>
      <c r="CX47" s="216"/>
      <c r="CY47" s="216"/>
      <c r="CZ47" s="216"/>
      <c r="DA47" s="216"/>
      <c r="DB47" s="216"/>
      <c r="DC47" s="216"/>
      <c r="DD47" s="216"/>
      <c r="DE47" s="216"/>
      <c r="DF47" s="216"/>
      <c r="DG47" s="216"/>
      <c r="DH47" s="216"/>
      <c r="DI47" s="216"/>
      <c r="DJ47" s="216"/>
      <c r="DK47" s="216"/>
      <c r="DL47" s="216"/>
      <c r="DM47" s="216"/>
      <c r="DN47" s="216"/>
      <c r="DO47" s="216"/>
      <c r="DP47" s="216"/>
      <c r="DQ47" s="216"/>
      <c r="DR47" s="216"/>
      <c r="DS47" s="216"/>
      <c r="DT47" s="216"/>
      <c r="DU47" s="216"/>
      <c r="DV47" s="216"/>
      <c r="DW47" s="216"/>
      <c r="DX47" s="216"/>
      <c r="DY47" s="216"/>
      <c r="DZ47" s="216"/>
      <c r="EA47" s="216"/>
      <c r="EB47" s="216"/>
      <c r="EC47" s="216"/>
      <c r="ED47" s="216"/>
      <c r="EE47" s="216"/>
      <c r="EF47" s="216"/>
      <c r="EG47" s="216"/>
      <c r="EH47" s="216"/>
      <c r="EI47" s="216"/>
      <c r="EJ47" s="216"/>
      <c r="EK47" s="216"/>
      <c r="EL47" s="216"/>
      <c r="EM47" s="216"/>
      <c r="EN47" s="216"/>
      <c r="EO47" s="216"/>
      <c r="EP47" s="216"/>
      <c r="EQ47" s="216"/>
      <c r="ER47" s="216"/>
      <c r="ES47" s="216"/>
      <c r="ET47" s="216"/>
      <c r="EU47" s="216"/>
      <c r="EV47" s="216"/>
      <c r="EW47" s="216"/>
      <c r="EX47" s="216"/>
      <c r="EY47" s="216"/>
      <c r="EZ47" s="40"/>
    </row>
    <row r="48" spans="1:156" ht="15.6" x14ac:dyDescent="0.3">
      <c r="A48" s="39"/>
      <c r="B48" s="62"/>
      <c r="C48" s="217"/>
      <c r="D48" s="218"/>
      <c r="E48" s="160" t="s">
        <v>101</v>
      </c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2"/>
      <c r="Y48" s="261"/>
      <c r="Z48" s="262"/>
      <c r="AA48" s="262"/>
      <c r="AB48" s="262"/>
      <c r="AC48" s="262"/>
      <c r="AD48" s="262"/>
      <c r="AE48" s="262"/>
      <c r="AF48" s="262"/>
      <c r="AG48" s="262"/>
      <c r="AH48" s="262"/>
      <c r="AI48" s="262"/>
      <c r="AJ48" s="262"/>
      <c r="AK48" s="262"/>
      <c r="AL48" s="262"/>
      <c r="AM48" s="262"/>
      <c r="AN48" s="262"/>
      <c r="AO48" s="262"/>
      <c r="AP48" s="262"/>
      <c r="AQ48" s="262"/>
      <c r="AR48" s="262"/>
      <c r="AS48" s="262"/>
      <c r="AT48" s="262"/>
      <c r="AU48" s="262"/>
      <c r="AV48" s="262"/>
      <c r="AW48" s="262"/>
      <c r="AX48" s="262"/>
      <c r="AY48" s="262"/>
      <c r="AZ48" s="262"/>
      <c r="BA48" s="262"/>
      <c r="BB48" s="262"/>
      <c r="BC48" s="262"/>
      <c r="BD48" s="262"/>
      <c r="BE48" s="262"/>
      <c r="BF48" s="262"/>
      <c r="BG48" s="262"/>
      <c r="BH48" s="262"/>
      <c r="BI48" s="262"/>
      <c r="BJ48" s="262"/>
      <c r="BK48" s="262"/>
      <c r="BL48" s="262"/>
      <c r="BM48" s="262"/>
      <c r="BN48" s="262"/>
      <c r="BO48" s="262"/>
      <c r="BP48" s="262"/>
      <c r="BQ48" s="262"/>
      <c r="BR48" s="262"/>
      <c r="BS48" s="262"/>
      <c r="BT48" s="262"/>
      <c r="BU48" s="262"/>
      <c r="BV48" s="262"/>
      <c r="BW48" s="262"/>
      <c r="BX48" s="262"/>
      <c r="BY48" s="263"/>
      <c r="BZ48" s="1"/>
      <c r="CA48" s="1"/>
      <c r="CB48" s="216"/>
      <c r="CC48" s="216"/>
      <c r="CD48" s="216"/>
      <c r="CE48" s="216"/>
      <c r="CF48" s="216"/>
      <c r="CG48" s="216"/>
      <c r="CH48" s="216"/>
      <c r="CI48" s="216"/>
      <c r="CJ48" s="216"/>
      <c r="CK48" s="216"/>
      <c r="CL48" s="216"/>
      <c r="CM48" s="216"/>
      <c r="CN48" s="216"/>
      <c r="CO48" s="216"/>
      <c r="CP48" s="216"/>
      <c r="CQ48" s="216"/>
      <c r="CR48" s="216"/>
      <c r="CS48" s="216"/>
      <c r="CT48" s="216"/>
      <c r="CU48" s="216"/>
      <c r="CV48" s="216"/>
      <c r="CW48" s="216"/>
      <c r="CX48" s="216"/>
      <c r="CY48" s="216"/>
      <c r="CZ48" s="216"/>
      <c r="DA48" s="216"/>
      <c r="DB48" s="216"/>
      <c r="DC48" s="216"/>
      <c r="DD48" s="216"/>
      <c r="DE48" s="216"/>
      <c r="DF48" s="216"/>
      <c r="DG48" s="216"/>
      <c r="DH48" s="216"/>
      <c r="DI48" s="216"/>
      <c r="DJ48" s="216"/>
      <c r="DK48" s="216"/>
      <c r="DL48" s="216"/>
      <c r="DM48" s="216"/>
      <c r="DN48" s="216"/>
      <c r="DO48" s="216"/>
      <c r="DP48" s="216"/>
      <c r="DQ48" s="216"/>
      <c r="DR48" s="216"/>
      <c r="DS48" s="216"/>
      <c r="DT48" s="216"/>
      <c r="DU48" s="216"/>
      <c r="DV48" s="216"/>
      <c r="DW48" s="216"/>
      <c r="DX48" s="216"/>
      <c r="DY48" s="216"/>
      <c r="DZ48" s="216"/>
      <c r="EA48" s="216"/>
      <c r="EB48" s="216"/>
      <c r="EC48" s="216"/>
      <c r="ED48" s="216"/>
      <c r="EE48" s="216"/>
      <c r="EF48" s="216"/>
      <c r="EG48" s="216"/>
      <c r="EH48" s="216"/>
      <c r="EI48" s="216"/>
      <c r="EJ48" s="216"/>
      <c r="EK48" s="216"/>
      <c r="EL48" s="216"/>
      <c r="EM48" s="216"/>
      <c r="EN48" s="216"/>
      <c r="EO48" s="216"/>
      <c r="EP48" s="216"/>
      <c r="EQ48" s="216"/>
      <c r="ER48" s="216"/>
      <c r="ES48" s="216"/>
      <c r="ET48" s="216"/>
      <c r="EU48" s="216"/>
      <c r="EV48" s="216"/>
      <c r="EW48" s="216"/>
      <c r="EX48" s="216"/>
      <c r="EY48" s="216"/>
      <c r="EZ48" s="40"/>
    </row>
    <row r="49" spans="1:156" ht="15.6" x14ac:dyDescent="0.3">
      <c r="A49" s="39"/>
      <c r="B49" s="62"/>
      <c r="C49" s="217"/>
      <c r="D49" s="218"/>
      <c r="E49" s="160" t="s">
        <v>102</v>
      </c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2"/>
      <c r="Y49" s="261"/>
      <c r="Z49" s="262"/>
      <c r="AA49" s="262"/>
      <c r="AB49" s="262"/>
      <c r="AC49" s="262"/>
      <c r="AD49" s="262"/>
      <c r="AE49" s="262"/>
      <c r="AF49" s="262"/>
      <c r="AG49" s="262"/>
      <c r="AH49" s="262"/>
      <c r="AI49" s="262"/>
      <c r="AJ49" s="262"/>
      <c r="AK49" s="262"/>
      <c r="AL49" s="262"/>
      <c r="AM49" s="262"/>
      <c r="AN49" s="262"/>
      <c r="AO49" s="262"/>
      <c r="AP49" s="262"/>
      <c r="AQ49" s="262"/>
      <c r="AR49" s="262"/>
      <c r="AS49" s="262"/>
      <c r="AT49" s="262"/>
      <c r="AU49" s="262"/>
      <c r="AV49" s="262"/>
      <c r="AW49" s="262"/>
      <c r="AX49" s="262"/>
      <c r="AY49" s="262"/>
      <c r="AZ49" s="262"/>
      <c r="BA49" s="262"/>
      <c r="BB49" s="262"/>
      <c r="BC49" s="262"/>
      <c r="BD49" s="262"/>
      <c r="BE49" s="262"/>
      <c r="BF49" s="262"/>
      <c r="BG49" s="262"/>
      <c r="BH49" s="262"/>
      <c r="BI49" s="262"/>
      <c r="BJ49" s="262"/>
      <c r="BK49" s="262"/>
      <c r="BL49" s="262"/>
      <c r="BM49" s="262"/>
      <c r="BN49" s="262"/>
      <c r="BO49" s="262"/>
      <c r="BP49" s="262"/>
      <c r="BQ49" s="262"/>
      <c r="BR49" s="262"/>
      <c r="BS49" s="262"/>
      <c r="BT49" s="262"/>
      <c r="BU49" s="262"/>
      <c r="BV49" s="262"/>
      <c r="BW49" s="262"/>
      <c r="BX49" s="262"/>
      <c r="BY49" s="263"/>
      <c r="BZ49" s="1"/>
      <c r="CA49" s="1"/>
      <c r="CB49" s="216"/>
      <c r="CC49" s="216"/>
      <c r="CD49" s="216"/>
      <c r="CE49" s="216"/>
      <c r="CF49" s="216"/>
      <c r="CG49" s="216"/>
      <c r="CH49" s="216"/>
      <c r="CI49" s="216"/>
      <c r="CJ49" s="216"/>
      <c r="CK49" s="216"/>
      <c r="CL49" s="216"/>
      <c r="CM49" s="216"/>
      <c r="CN49" s="216"/>
      <c r="CO49" s="216"/>
      <c r="CP49" s="216"/>
      <c r="CQ49" s="216"/>
      <c r="CR49" s="216"/>
      <c r="CS49" s="216"/>
      <c r="CT49" s="216"/>
      <c r="CU49" s="216"/>
      <c r="CV49" s="216"/>
      <c r="CW49" s="216"/>
      <c r="CX49" s="216"/>
      <c r="CY49" s="216"/>
      <c r="CZ49" s="216"/>
      <c r="DA49" s="216"/>
      <c r="DB49" s="216"/>
      <c r="DC49" s="216"/>
      <c r="DD49" s="216"/>
      <c r="DE49" s="216"/>
      <c r="DF49" s="216"/>
      <c r="DG49" s="216"/>
      <c r="DH49" s="216"/>
      <c r="DI49" s="216"/>
      <c r="DJ49" s="216"/>
      <c r="DK49" s="216"/>
      <c r="DL49" s="216"/>
      <c r="DM49" s="216"/>
      <c r="DN49" s="216"/>
      <c r="DO49" s="216"/>
      <c r="DP49" s="216"/>
      <c r="DQ49" s="216"/>
      <c r="DR49" s="216"/>
      <c r="DS49" s="216"/>
      <c r="DT49" s="216"/>
      <c r="DU49" s="216"/>
      <c r="DV49" s="216"/>
      <c r="DW49" s="216"/>
      <c r="DX49" s="216"/>
      <c r="DY49" s="216"/>
      <c r="DZ49" s="216"/>
      <c r="EA49" s="216"/>
      <c r="EB49" s="216"/>
      <c r="EC49" s="216"/>
      <c r="ED49" s="216"/>
      <c r="EE49" s="216"/>
      <c r="EF49" s="216"/>
      <c r="EG49" s="216"/>
      <c r="EH49" s="216"/>
      <c r="EI49" s="216"/>
      <c r="EJ49" s="216"/>
      <c r="EK49" s="216"/>
      <c r="EL49" s="216"/>
      <c r="EM49" s="216"/>
      <c r="EN49" s="216"/>
      <c r="EO49" s="216"/>
      <c r="EP49" s="216"/>
      <c r="EQ49" s="216"/>
      <c r="ER49" s="216"/>
      <c r="ES49" s="216"/>
      <c r="ET49" s="216"/>
      <c r="EU49" s="216"/>
      <c r="EV49" s="216"/>
      <c r="EW49" s="216"/>
      <c r="EX49" s="216"/>
      <c r="EY49" s="216"/>
      <c r="EZ49" s="40"/>
    </row>
    <row r="50" spans="1:156" ht="15.6" x14ac:dyDescent="0.3">
      <c r="A50" s="39"/>
      <c r="B50" s="62"/>
      <c r="C50" s="217"/>
      <c r="D50" s="218"/>
      <c r="E50" s="25" t="s">
        <v>103</v>
      </c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7"/>
      <c r="Y50" s="261"/>
      <c r="Z50" s="262"/>
      <c r="AA50" s="262"/>
      <c r="AB50" s="262"/>
      <c r="AC50" s="262"/>
      <c r="AD50" s="262"/>
      <c r="AE50" s="262"/>
      <c r="AF50" s="262"/>
      <c r="AG50" s="262"/>
      <c r="AH50" s="262"/>
      <c r="AI50" s="262"/>
      <c r="AJ50" s="262"/>
      <c r="AK50" s="262"/>
      <c r="AL50" s="262"/>
      <c r="AM50" s="262"/>
      <c r="AN50" s="262"/>
      <c r="AO50" s="262"/>
      <c r="AP50" s="262"/>
      <c r="AQ50" s="262"/>
      <c r="AR50" s="262"/>
      <c r="AS50" s="262"/>
      <c r="AT50" s="262"/>
      <c r="AU50" s="262"/>
      <c r="AV50" s="262"/>
      <c r="AW50" s="262"/>
      <c r="AX50" s="262"/>
      <c r="AY50" s="262"/>
      <c r="AZ50" s="262"/>
      <c r="BA50" s="262"/>
      <c r="BB50" s="262"/>
      <c r="BC50" s="262"/>
      <c r="BD50" s="262"/>
      <c r="BE50" s="262"/>
      <c r="BF50" s="262"/>
      <c r="BG50" s="262"/>
      <c r="BH50" s="262"/>
      <c r="BI50" s="262"/>
      <c r="BJ50" s="262"/>
      <c r="BK50" s="262"/>
      <c r="BL50" s="262"/>
      <c r="BM50" s="262"/>
      <c r="BN50" s="262"/>
      <c r="BO50" s="262"/>
      <c r="BP50" s="262"/>
      <c r="BQ50" s="262"/>
      <c r="BR50" s="262"/>
      <c r="BS50" s="262"/>
      <c r="BT50" s="262"/>
      <c r="BU50" s="262"/>
      <c r="BV50" s="262"/>
      <c r="BW50" s="262"/>
      <c r="BX50" s="262"/>
      <c r="BY50" s="263"/>
      <c r="BZ50" s="1"/>
      <c r="CA50" s="1"/>
      <c r="CB50" s="216"/>
      <c r="CC50" s="216"/>
      <c r="CD50" s="216"/>
      <c r="CE50" s="216"/>
      <c r="CF50" s="216"/>
      <c r="CG50" s="216"/>
      <c r="CH50" s="216"/>
      <c r="CI50" s="216"/>
      <c r="CJ50" s="216"/>
      <c r="CK50" s="216"/>
      <c r="CL50" s="216"/>
      <c r="CM50" s="216"/>
      <c r="CN50" s="216"/>
      <c r="CO50" s="216"/>
      <c r="CP50" s="216"/>
      <c r="CQ50" s="216"/>
      <c r="CR50" s="216"/>
      <c r="CS50" s="216"/>
      <c r="CT50" s="216"/>
      <c r="CU50" s="216"/>
      <c r="CV50" s="216"/>
      <c r="CW50" s="216"/>
      <c r="CX50" s="216"/>
      <c r="CY50" s="216"/>
      <c r="CZ50" s="216"/>
      <c r="DA50" s="216"/>
      <c r="DB50" s="216"/>
      <c r="DC50" s="216"/>
      <c r="DD50" s="216"/>
      <c r="DE50" s="216"/>
      <c r="DF50" s="216"/>
      <c r="DG50" s="216"/>
      <c r="DH50" s="216"/>
      <c r="DI50" s="216"/>
      <c r="DJ50" s="216"/>
      <c r="DK50" s="216"/>
      <c r="DL50" s="216"/>
      <c r="DM50" s="216"/>
      <c r="DN50" s="216"/>
      <c r="DO50" s="216"/>
      <c r="DP50" s="216"/>
      <c r="DQ50" s="216"/>
      <c r="DR50" s="216"/>
      <c r="DS50" s="216"/>
      <c r="DT50" s="216"/>
      <c r="DU50" s="216"/>
      <c r="DV50" s="216"/>
      <c r="DW50" s="216"/>
      <c r="DX50" s="216"/>
      <c r="DY50" s="216"/>
      <c r="DZ50" s="216"/>
      <c r="EA50" s="216"/>
      <c r="EB50" s="216"/>
      <c r="EC50" s="216"/>
      <c r="ED50" s="216"/>
      <c r="EE50" s="216"/>
      <c r="EF50" s="216"/>
      <c r="EG50" s="216"/>
      <c r="EH50" s="216"/>
      <c r="EI50" s="216"/>
      <c r="EJ50" s="216"/>
      <c r="EK50" s="216"/>
      <c r="EL50" s="216"/>
      <c r="EM50" s="216"/>
      <c r="EN50" s="216"/>
      <c r="EO50" s="216"/>
      <c r="EP50" s="216"/>
      <c r="EQ50" s="216"/>
      <c r="ER50" s="216"/>
      <c r="ES50" s="216"/>
      <c r="ET50" s="216"/>
      <c r="EU50" s="216"/>
      <c r="EV50" s="216"/>
      <c r="EW50" s="216"/>
      <c r="EX50" s="216"/>
      <c r="EY50" s="216"/>
      <c r="EZ50" s="40"/>
    </row>
    <row r="51" spans="1:156" ht="15.6" x14ac:dyDescent="0.3">
      <c r="A51" s="39"/>
      <c r="B51" s="63"/>
      <c r="C51" s="217"/>
      <c r="D51" s="218"/>
      <c r="E51" s="25" t="s">
        <v>57</v>
      </c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7"/>
      <c r="Y51" s="261"/>
      <c r="Z51" s="262"/>
      <c r="AA51" s="262"/>
      <c r="AB51" s="262"/>
      <c r="AC51" s="262"/>
      <c r="AD51" s="262"/>
      <c r="AE51" s="262"/>
      <c r="AF51" s="262"/>
      <c r="AG51" s="262"/>
      <c r="AH51" s="262"/>
      <c r="AI51" s="262"/>
      <c r="AJ51" s="262"/>
      <c r="AK51" s="262"/>
      <c r="AL51" s="262"/>
      <c r="AM51" s="262"/>
      <c r="AN51" s="262"/>
      <c r="AO51" s="262"/>
      <c r="AP51" s="262"/>
      <c r="AQ51" s="262"/>
      <c r="AR51" s="262"/>
      <c r="AS51" s="262"/>
      <c r="AT51" s="262"/>
      <c r="AU51" s="262"/>
      <c r="AV51" s="262"/>
      <c r="AW51" s="262"/>
      <c r="AX51" s="262"/>
      <c r="AY51" s="262"/>
      <c r="AZ51" s="262"/>
      <c r="BA51" s="262"/>
      <c r="BB51" s="262"/>
      <c r="BC51" s="262"/>
      <c r="BD51" s="262"/>
      <c r="BE51" s="262"/>
      <c r="BF51" s="262"/>
      <c r="BG51" s="262"/>
      <c r="BH51" s="262"/>
      <c r="BI51" s="262"/>
      <c r="BJ51" s="262"/>
      <c r="BK51" s="262"/>
      <c r="BL51" s="262"/>
      <c r="BM51" s="262"/>
      <c r="BN51" s="262"/>
      <c r="BO51" s="262"/>
      <c r="BP51" s="262"/>
      <c r="BQ51" s="262"/>
      <c r="BR51" s="262"/>
      <c r="BS51" s="262"/>
      <c r="BT51" s="262"/>
      <c r="BU51" s="262"/>
      <c r="BV51" s="262"/>
      <c r="BW51" s="262"/>
      <c r="BX51" s="262"/>
      <c r="BY51" s="263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51"/>
      <c r="CS51" s="52"/>
      <c r="CT51" s="52"/>
      <c r="CU51" s="52"/>
      <c r="CV51" s="52"/>
      <c r="CW51" s="52"/>
      <c r="CX51" s="52"/>
      <c r="CY51" s="52"/>
      <c r="CZ51" s="52"/>
      <c r="DA51" s="52"/>
      <c r="DB51" s="51"/>
      <c r="DC51" s="51"/>
      <c r="DD51" s="51"/>
      <c r="DE51" s="51"/>
      <c r="DF51" s="51"/>
      <c r="DG51" s="51"/>
      <c r="DH51" s="51"/>
      <c r="DI51" s="51"/>
      <c r="DJ51" s="51"/>
      <c r="DK51" s="51"/>
      <c r="DL51" s="53"/>
      <c r="DM51" s="53"/>
      <c r="DN51" s="53"/>
      <c r="DO51" s="53"/>
      <c r="DP51" s="53"/>
      <c r="DQ51" s="53"/>
      <c r="DR51" s="53"/>
      <c r="DS51" s="53"/>
      <c r="DT51" s="53"/>
      <c r="DU51" s="53"/>
      <c r="DV51" s="53"/>
      <c r="DW51" s="53"/>
      <c r="DX51" s="53"/>
      <c r="DY51" s="53"/>
      <c r="DZ51" s="53"/>
      <c r="EA51" s="53"/>
      <c r="EB51" s="53"/>
      <c r="EC51" s="53"/>
      <c r="ED51" s="53"/>
      <c r="EE51" s="53"/>
      <c r="EF51" s="53"/>
      <c r="EG51" s="53"/>
      <c r="EH51" s="53"/>
      <c r="EI51" s="53"/>
      <c r="EJ51" s="53"/>
      <c r="EK51" s="53"/>
      <c r="EL51" s="53"/>
      <c r="EM51" s="53"/>
      <c r="EN51" s="53"/>
      <c r="EO51" s="53"/>
      <c r="EP51" s="53"/>
      <c r="EQ51" s="53"/>
      <c r="ER51" s="53"/>
      <c r="ES51" s="53"/>
      <c r="ET51" s="53"/>
      <c r="EU51" s="53"/>
      <c r="EV51" s="53"/>
      <c r="EW51" s="53"/>
      <c r="EX51" s="53"/>
      <c r="EY51" s="53"/>
      <c r="EZ51" s="40"/>
    </row>
    <row r="52" spans="1:156" ht="15.6" x14ac:dyDescent="0.3">
      <c r="A52" s="39"/>
      <c r="B52" s="63"/>
      <c r="C52" s="217"/>
      <c r="D52" s="218"/>
      <c r="E52" s="160" t="s">
        <v>104</v>
      </c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2"/>
      <c r="Y52" s="261"/>
      <c r="Z52" s="262"/>
      <c r="AA52" s="262"/>
      <c r="AB52" s="262"/>
      <c r="AC52" s="262"/>
      <c r="AD52" s="262"/>
      <c r="AE52" s="262"/>
      <c r="AF52" s="262"/>
      <c r="AG52" s="262"/>
      <c r="AH52" s="262"/>
      <c r="AI52" s="262"/>
      <c r="AJ52" s="262"/>
      <c r="AK52" s="262"/>
      <c r="AL52" s="262"/>
      <c r="AM52" s="262"/>
      <c r="AN52" s="262"/>
      <c r="AO52" s="262"/>
      <c r="AP52" s="262"/>
      <c r="AQ52" s="262"/>
      <c r="AR52" s="262"/>
      <c r="AS52" s="262"/>
      <c r="AT52" s="262"/>
      <c r="AU52" s="262"/>
      <c r="AV52" s="262"/>
      <c r="AW52" s="262"/>
      <c r="AX52" s="262"/>
      <c r="AY52" s="262"/>
      <c r="AZ52" s="262"/>
      <c r="BA52" s="262"/>
      <c r="BB52" s="262"/>
      <c r="BC52" s="262"/>
      <c r="BD52" s="262"/>
      <c r="BE52" s="262"/>
      <c r="BF52" s="262"/>
      <c r="BG52" s="262"/>
      <c r="BH52" s="262"/>
      <c r="BI52" s="262"/>
      <c r="BJ52" s="262"/>
      <c r="BK52" s="262"/>
      <c r="BL52" s="262"/>
      <c r="BM52" s="262"/>
      <c r="BN52" s="262"/>
      <c r="BO52" s="262"/>
      <c r="BP52" s="262"/>
      <c r="BQ52" s="262"/>
      <c r="BR52" s="262"/>
      <c r="BS52" s="262"/>
      <c r="BT52" s="262"/>
      <c r="BU52" s="262"/>
      <c r="BV52" s="262"/>
      <c r="BW52" s="262"/>
      <c r="BX52" s="262"/>
      <c r="BY52" s="263"/>
      <c r="BZ52" s="1"/>
      <c r="CA52" s="1"/>
      <c r="CB52" s="110" t="s">
        <v>105</v>
      </c>
      <c r="CC52" s="111"/>
      <c r="CD52" s="111"/>
      <c r="CE52" s="111"/>
      <c r="CF52" s="111"/>
      <c r="CG52" s="111"/>
      <c r="CH52" s="111"/>
      <c r="CI52" s="111"/>
      <c r="CJ52" s="111"/>
      <c r="CK52" s="111"/>
      <c r="CL52" s="111"/>
      <c r="CM52" s="111"/>
      <c r="CN52" s="111"/>
      <c r="CO52" s="111"/>
      <c r="CP52" s="111"/>
      <c r="CQ52" s="111"/>
      <c r="CR52" s="111"/>
      <c r="CS52" s="111"/>
      <c r="CT52" s="111"/>
      <c r="CU52" s="111"/>
      <c r="CV52" s="139"/>
      <c r="CW52" s="110" t="s">
        <v>106</v>
      </c>
      <c r="CX52" s="111"/>
      <c r="CY52" s="111"/>
      <c r="CZ52" s="111"/>
      <c r="DA52" s="111"/>
      <c r="DB52" s="111"/>
      <c r="DC52" s="111"/>
      <c r="DD52" s="111"/>
      <c r="DE52" s="111"/>
      <c r="DF52" s="111"/>
      <c r="DG52" s="139"/>
      <c r="DH52" s="110" t="s">
        <v>107</v>
      </c>
      <c r="DI52" s="111"/>
      <c r="DJ52" s="111"/>
      <c r="DK52" s="111"/>
      <c r="DL52" s="111"/>
      <c r="DM52" s="111"/>
      <c r="DN52" s="111"/>
      <c r="DO52" s="111"/>
      <c r="DP52" s="111"/>
      <c r="DQ52" s="111"/>
      <c r="DR52" s="139"/>
      <c r="DS52" s="110" t="s">
        <v>108</v>
      </c>
      <c r="DT52" s="111"/>
      <c r="DU52" s="111"/>
      <c r="DV52" s="111"/>
      <c r="DW52" s="111"/>
      <c r="DX52" s="111"/>
      <c r="DY52" s="111"/>
      <c r="DZ52" s="111"/>
      <c r="EA52" s="111"/>
      <c r="EB52" s="111"/>
      <c r="EC52" s="111"/>
      <c r="ED52" s="111"/>
      <c r="EE52" s="111"/>
      <c r="EF52" s="111"/>
      <c r="EG52" s="111"/>
      <c r="EH52" s="111"/>
      <c r="EI52" s="111"/>
      <c r="EJ52" s="111"/>
      <c r="EK52" s="111"/>
      <c r="EL52" s="111"/>
      <c r="EM52" s="111"/>
      <c r="EN52" s="111"/>
      <c r="EO52" s="111"/>
      <c r="EP52" s="111"/>
      <c r="EQ52" s="111"/>
      <c r="ER52" s="111"/>
      <c r="ES52" s="111"/>
      <c r="ET52" s="111"/>
      <c r="EU52" s="111"/>
      <c r="EV52" s="111"/>
      <c r="EW52" s="111"/>
      <c r="EX52" s="111"/>
      <c r="EY52" s="139"/>
      <c r="EZ52" s="40"/>
    </row>
    <row r="53" spans="1:156" ht="15.6" x14ac:dyDescent="0.3">
      <c r="A53" s="39"/>
      <c r="B53" s="62"/>
      <c r="C53" s="217"/>
      <c r="D53" s="218"/>
      <c r="E53" s="160" t="s">
        <v>109</v>
      </c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  <c r="X53" s="162"/>
      <c r="Y53" s="261"/>
      <c r="Z53" s="262"/>
      <c r="AA53" s="262"/>
      <c r="AB53" s="262"/>
      <c r="AC53" s="262"/>
      <c r="AD53" s="262"/>
      <c r="AE53" s="262"/>
      <c r="AF53" s="262"/>
      <c r="AG53" s="262"/>
      <c r="AH53" s="262"/>
      <c r="AI53" s="262"/>
      <c r="AJ53" s="262"/>
      <c r="AK53" s="262"/>
      <c r="AL53" s="262"/>
      <c r="AM53" s="262"/>
      <c r="AN53" s="262"/>
      <c r="AO53" s="262"/>
      <c r="AP53" s="262"/>
      <c r="AQ53" s="262"/>
      <c r="AR53" s="262"/>
      <c r="AS53" s="262"/>
      <c r="AT53" s="262"/>
      <c r="AU53" s="262"/>
      <c r="AV53" s="262"/>
      <c r="AW53" s="262"/>
      <c r="AX53" s="262"/>
      <c r="AY53" s="262"/>
      <c r="AZ53" s="262"/>
      <c r="BA53" s="262"/>
      <c r="BB53" s="262"/>
      <c r="BC53" s="262"/>
      <c r="BD53" s="262"/>
      <c r="BE53" s="262"/>
      <c r="BF53" s="262"/>
      <c r="BG53" s="262"/>
      <c r="BH53" s="262"/>
      <c r="BI53" s="262"/>
      <c r="BJ53" s="262"/>
      <c r="BK53" s="262"/>
      <c r="BL53" s="262"/>
      <c r="BM53" s="262"/>
      <c r="BN53" s="262"/>
      <c r="BO53" s="262"/>
      <c r="BP53" s="262"/>
      <c r="BQ53" s="262"/>
      <c r="BR53" s="262"/>
      <c r="BS53" s="262"/>
      <c r="BT53" s="262"/>
      <c r="BU53" s="262"/>
      <c r="BV53" s="262"/>
      <c r="BW53" s="262"/>
      <c r="BX53" s="262"/>
      <c r="BY53" s="263"/>
      <c r="BZ53" s="1"/>
      <c r="CA53" s="1"/>
      <c r="CB53" s="207"/>
      <c r="CC53" s="208"/>
      <c r="CD53" s="208"/>
      <c r="CE53" s="208"/>
      <c r="CF53" s="208"/>
      <c r="CG53" s="208"/>
      <c r="CH53" s="208"/>
      <c r="CI53" s="208"/>
      <c r="CJ53" s="208"/>
      <c r="CK53" s="208"/>
      <c r="CL53" s="208"/>
      <c r="CM53" s="208"/>
      <c r="CN53" s="208"/>
      <c r="CO53" s="208"/>
      <c r="CP53" s="208"/>
      <c r="CQ53" s="208"/>
      <c r="CR53" s="208"/>
      <c r="CS53" s="208"/>
      <c r="CT53" s="208"/>
      <c r="CU53" s="208"/>
      <c r="CV53" s="209"/>
      <c r="CW53" s="207"/>
      <c r="CX53" s="208"/>
      <c r="CY53" s="208"/>
      <c r="CZ53" s="208"/>
      <c r="DA53" s="208"/>
      <c r="DB53" s="208"/>
      <c r="DC53" s="208"/>
      <c r="DD53" s="208"/>
      <c r="DE53" s="208"/>
      <c r="DF53" s="208"/>
      <c r="DG53" s="209"/>
      <c r="DH53" s="207"/>
      <c r="DI53" s="208"/>
      <c r="DJ53" s="208"/>
      <c r="DK53" s="208"/>
      <c r="DL53" s="208"/>
      <c r="DM53" s="208"/>
      <c r="DN53" s="208"/>
      <c r="DO53" s="208"/>
      <c r="DP53" s="208"/>
      <c r="DQ53" s="208"/>
      <c r="DR53" s="209"/>
      <c r="DS53" s="267"/>
      <c r="DT53" s="268"/>
      <c r="DU53" s="268"/>
      <c r="DV53" s="268"/>
      <c r="DW53" s="268"/>
      <c r="DX53" s="268"/>
      <c r="DY53" s="268"/>
      <c r="DZ53" s="268"/>
      <c r="EA53" s="268"/>
      <c r="EB53" s="268"/>
      <c r="EC53" s="268"/>
      <c r="ED53" s="268"/>
      <c r="EE53" s="268"/>
      <c r="EF53" s="268"/>
      <c r="EG53" s="268"/>
      <c r="EH53" s="268"/>
      <c r="EI53" s="268"/>
      <c r="EJ53" s="268"/>
      <c r="EK53" s="268"/>
      <c r="EL53" s="268"/>
      <c r="EM53" s="268"/>
      <c r="EN53" s="268"/>
      <c r="EO53" s="268"/>
      <c r="EP53" s="268"/>
      <c r="EQ53" s="268"/>
      <c r="ER53" s="268"/>
      <c r="ES53" s="268"/>
      <c r="ET53" s="268"/>
      <c r="EU53" s="268"/>
      <c r="EV53" s="268"/>
      <c r="EW53" s="268"/>
      <c r="EX53" s="268"/>
      <c r="EY53" s="269"/>
      <c r="EZ53" s="40"/>
    </row>
    <row r="54" spans="1:156" ht="15.6" x14ac:dyDescent="0.3">
      <c r="A54" s="39"/>
      <c r="B54" s="64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6"/>
      <c r="Y54" s="264"/>
      <c r="Z54" s="265"/>
      <c r="AA54" s="265"/>
      <c r="AB54" s="265"/>
      <c r="AC54" s="265"/>
      <c r="AD54" s="265"/>
      <c r="AE54" s="265"/>
      <c r="AF54" s="265"/>
      <c r="AG54" s="265"/>
      <c r="AH54" s="265"/>
      <c r="AI54" s="265"/>
      <c r="AJ54" s="265"/>
      <c r="AK54" s="265"/>
      <c r="AL54" s="265"/>
      <c r="AM54" s="265"/>
      <c r="AN54" s="265"/>
      <c r="AO54" s="265"/>
      <c r="AP54" s="265"/>
      <c r="AQ54" s="265"/>
      <c r="AR54" s="265"/>
      <c r="AS54" s="265"/>
      <c r="AT54" s="265"/>
      <c r="AU54" s="265"/>
      <c r="AV54" s="265"/>
      <c r="AW54" s="265"/>
      <c r="AX54" s="265"/>
      <c r="AY54" s="265"/>
      <c r="AZ54" s="265"/>
      <c r="BA54" s="265"/>
      <c r="BB54" s="265"/>
      <c r="BC54" s="265"/>
      <c r="BD54" s="265"/>
      <c r="BE54" s="265"/>
      <c r="BF54" s="265"/>
      <c r="BG54" s="265"/>
      <c r="BH54" s="265"/>
      <c r="BI54" s="265"/>
      <c r="BJ54" s="265"/>
      <c r="BK54" s="265"/>
      <c r="BL54" s="265"/>
      <c r="BM54" s="265"/>
      <c r="BN54" s="265"/>
      <c r="BO54" s="265"/>
      <c r="BP54" s="265"/>
      <c r="BQ54" s="265"/>
      <c r="BR54" s="265"/>
      <c r="BS54" s="265"/>
      <c r="BT54" s="265"/>
      <c r="BU54" s="265"/>
      <c r="BV54" s="265"/>
      <c r="BW54" s="265"/>
      <c r="BX54" s="265"/>
      <c r="BY54" s="266"/>
      <c r="BZ54" s="1"/>
      <c r="CA54" s="1"/>
      <c r="CB54" s="210"/>
      <c r="CC54" s="211"/>
      <c r="CD54" s="211"/>
      <c r="CE54" s="211"/>
      <c r="CF54" s="211"/>
      <c r="CG54" s="211"/>
      <c r="CH54" s="211"/>
      <c r="CI54" s="211"/>
      <c r="CJ54" s="211"/>
      <c r="CK54" s="211"/>
      <c r="CL54" s="211"/>
      <c r="CM54" s="211"/>
      <c r="CN54" s="211"/>
      <c r="CO54" s="211"/>
      <c r="CP54" s="211"/>
      <c r="CQ54" s="211"/>
      <c r="CR54" s="211"/>
      <c r="CS54" s="211"/>
      <c r="CT54" s="211"/>
      <c r="CU54" s="211"/>
      <c r="CV54" s="212"/>
      <c r="CW54" s="210"/>
      <c r="CX54" s="211"/>
      <c r="CY54" s="211"/>
      <c r="CZ54" s="211"/>
      <c r="DA54" s="211"/>
      <c r="DB54" s="211"/>
      <c r="DC54" s="211"/>
      <c r="DD54" s="211"/>
      <c r="DE54" s="211"/>
      <c r="DF54" s="211"/>
      <c r="DG54" s="212"/>
      <c r="DH54" s="210"/>
      <c r="DI54" s="211"/>
      <c r="DJ54" s="211"/>
      <c r="DK54" s="211"/>
      <c r="DL54" s="211"/>
      <c r="DM54" s="211"/>
      <c r="DN54" s="211"/>
      <c r="DO54" s="211"/>
      <c r="DP54" s="211"/>
      <c r="DQ54" s="211"/>
      <c r="DR54" s="212"/>
      <c r="DS54" s="270"/>
      <c r="DT54" s="271"/>
      <c r="DU54" s="271"/>
      <c r="DV54" s="271"/>
      <c r="DW54" s="271"/>
      <c r="DX54" s="271"/>
      <c r="DY54" s="271"/>
      <c r="DZ54" s="271"/>
      <c r="EA54" s="271"/>
      <c r="EB54" s="271"/>
      <c r="EC54" s="271"/>
      <c r="ED54" s="271"/>
      <c r="EE54" s="271"/>
      <c r="EF54" s="271"/>
      <c r="EG54" s="271"/>
      <c r="EH54" s="271"/>
      <c r="EI54" s="271"/>
      <c r="EJ54" s="271"/>
      <c r="EK54" s="271"/>
      <c r="EL54" s="271"/>
      <c r="EM54" s="271"/>
      <c r="EN54" s="271"/>
      <c r="EO54" s="271"/>
      <c r="EP54" s="271"/>
      <c r="EQ54" s="271"/>
      <c r="ER54" s="271"/>
      <c r="ES54" s="271"/>
      <c r="ET54" s="271"/>
      <c r="EU54" s="271"/>
      <c r="EV54" s="271"/>
      <c r="EW54" s="271"/>
      <c r="EX54" s="271"/>
      <c r="EY54" s="272"/>
      <c r="EZ54" s="40"/>
    </row>
    <row r="55" spans="1:156" ht="15.6" x14ac:dyDescent="0.3">
      <c r="A55" s="39"/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40"/>
    </row>
    <row r="56" spans="1:156" ht="15.6" x14ac:dyDescent="0.3">
      <c r="A56" s="39"/>
      <c r="B56" s="196" t="s">
        <v>110</v>
      </c>
      <c r="C56" s="196"/>
      <c r="D56" s="196"/>
      <c r="E56" s="196"/>
      <c r="F56" s="196"/>
      <c r="G56" s="196"/>
      <c r="H56" s="196"/>
      <c r="I56" s="196"/>
      <c r="J56" s="196"/>
      <c r="K56" s="196"/>
      <c r="L56" s="196"/>
      <c r="M56" s="196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  <c r="AA56" s="196"/>
      <c r="AB56" s="196"/>
      <c r="AC56" s="196"/>
      <c r="AD56" s="196"/>
      <c r="AE56" s="196"/>
      <c r="AF56" s="196"/>
      <c r="AG56" s="196"/>
      <c r="AH56" s="196"/>
      <c r="AI56" s="196"/>
      <c r="AJ56" s="196"/>
      <c r="AK56" s="196"/>
      <c r="AL56" s="196"/>
      <c r="AM56" s="196"/>
      <c r="AN56" s="196"/>
      <c r="AO56" s="196"/>
      <c r="AP56" s="196"/>
      <c r="AQ56" s="196"/>
      <c r="AR56" s="196"/>
      <c r="AS56" s="196"/>
      <c r="AT56" s="196"/>
      <c r="AU56" s="196"/>
      <c r="AV56" s="196"/>
      <c r="AW56" s="196"/>
      <c r="AX56" s="196"/>
      <c r="AY56" s="196"/>
      <c r="AZ56" s="196"/>
      <c r="BA56" s="196"/>
      <c r="BB56" s="196"/>
      <c r="BC56" s="196"/>
      <c r="BD56" s="196"/>
      <c r="BE56" s="196" t="s">
        <v>111</v>
      </c>
      <c r="BF56" s="196"/>
      <c r="BG56" s="196"/>
      <c r="BH56" s="196"/>
      <c r="BI56" s="196"/>
      <c r="BJ56" s="196"/>
      <c r="BK56" s="196"/>
      <c r="BL56" s="196"/>
      <c r="BM56" s="196"/>
      <c r="BN56" s="196"/>
      <c r="BO56" s="196"/>
      <c r="BP56" s="196" t="s">
        <v>112</v>
      </c>
      <c r="BQ56" s="196"/>
      <c r="BR56" s="196"/>
      <c r="BS56" s="196"/>
      <c r="BT56" s="196"/>
      <c r="BU56" s="196"/>
      <c r="BV56" s="196"/>
      <c r="BW56" s="196"/>
      <c r="BX56" s="196"/>
      <c r="BY56" s="196"/>
      <c r="BZ56" s="196"/>
      <c r="CA56" s="196" t="s">
        <v>88</v>
      </c>
      <c r="CB56" s="273"/>
      <c r="CC56" s="273"/>
      <c r="CD56" s="273"/>
      <c r="CE56" s="273"/>
      <c r="CF56" s="273"/>
      <c r="CG56" s="273"/>
      <c r="CH56" s="273"/>
      <c r="CI56" s="273"/>
      <c r="CJ56" s="273"/>
      <c r="CK56" s="273"/>
      <c r="CL56" s="273"/>
      <c r="CM56" s="273"/>
      <c r="CN56" s="273"/>
      <c r="CO56" s="273"/>
      <c r="CP56" s="273"/>
      <c r="CQ56" s="273"/>
      <c r="CR56" s="273"/>
      <c r="CS56" s="273"/>
      <c r="CT56" s="273"/>
      <c r="CU56" s="273"/>
      <c r="CV56" s="273"/>
      <c r="CW56" s="273"/>
      <c r="CX56" s="273"/>
      <c r="CY56" s="273"/>
      <c r="CZ56" s="273"/>
      <c r="DA56" s="273"/>
      <c r="DB56" s="273"/>
      <c r="DC56" s="273"/>
      <c r="DD56" s="273"/>
      <c r="DE56" s="273"/>
      <c r="DF56" s="273"/>
      <c r="DG56" s="273"/>
      <c r="DH56" s="196" t="s">
        <v>93</v>
      </c>
      <c r="DI56" s="196"/>
      <c r="DJ56" s="196"/>
      <c r="DK56" s="196"/>
      <c r="DL56" s="196"/>
      <c r="DM56" s="196"/>
      <c r="DN56" s="196"/>
      <c r="DO56" s="196"/>
      <c r="DP56" s="196"/>
      <c r="DQ56" s="196"/>
      <c r="DR56" s="196"/>
      <c r="DS56" s="196"/>
      <c r="DT56" s="196"/>
      <c r="DU56" s="196"/>
      <c r="DV56" s="196"/>
      <c r="DW56" s="196"/>
      <c r="DX56" s="196"/>
      <c r="DY56" s="196"/>
      <c r="DZ56" s="196"/>
      <c r="EA56" s="196"/>
      <c r="EB56" s="196"/>
      <c r="EC56" s="196"/>
      <c r="ED56" s="196"/>
      <c r="EE56" s="196"/>
      <c r="EF56" s="196"/>
      <c r="EG56" s="196"/>
      <c r="EH56" s="196"/>
      <c r="EI56" s="196"/>
      <c r="EJ56" s="196"/>
      <c r="EK56" s="196"/>
      <c r="EL56" s="196"/>
      <c r="EM56" s="196"/>
      <c r="EN56" s="196"/>
      <c r="EO56" s="196"/>
      <c r="EP56" s="196"/>
      <c r="EQ56" s="196"/>
      <c r="ER56" s="196"/>
      <c r="ES56" s="196"/>
      <c r="ET56" s="196"/>
      <c r="EU56" s="196"/>
      <c r="EV56" s="196"/>
      <c r="EW56" s="196"/>
      <c r="EX56" s="196"/>
      <c r="EY56" s="196"/>
      <c r="EZ56" s="40"/>
    </row>
    <row r="57" spans="1:156" ht="15" customHeight="1" x14ac:dyDescent="0.3">
      <c r="A57" s="39"/>
      <c r="B57" s="216"/>
      <c r="C57" s="216"/>
      <c r="D57" s="216"/>
      <c r="E57" s="216"/>
      <c r="F57" s="216"/>
      <c r="G57" s="216"/>
      <c r="H57" s="216"/>
      <c r="I57" s="216"/>
      <c r="J57" s="216"/>
      <c r="K57" s="216"/>
      <c r="L57" s="216"/>
      <c r="M57" s="216"/>
      <c r="N57" s="216"/>
      <c r="O57" s="216"/>
      <c r="P57" s="216"/>
      <c r="Q57" s="216"/>
      <c r="R57" s="216"/>
      <c r="S57" s="216"/>
      <c r="T57" s="216"/>
      <c r="U57" s="216"/>
      <c r="V57" s="216"/>
      <c r="W57" s="216"/>
      <c r="X57" s="216"/>
      <c r="Y57" s="216"/>
      <c r="Z57" s="216"/>
      <c r="AA57" s="216"/>
      <c r="AB57" s="216"/>
      <c r="AC57" s="216"/>
      <c r="AD57" s="216"/>
      <c r="AE57" s="216"/>
      <c r="AF57" s="216"/>
      <c r="AG57" s="216"/>
      <c r="AH57" s="216"/>
      <c r="AI57" s="216"/>
      <c r="AJ57" s="216"/>
      <c r="AK57" s="216"/>
      <c r="AL57" s="216"/>
      <c r="AM57" s="216"/>
      <c r="AN57" s="216"/>
      <c r="AO57" s="216"/>
      <c r="AP57" s="216"/>
      <c r="AQ57" s="216"/>
      <c r="AR57" s="216"/>
      <c r="AS57" s="216"/>
      <c r="AT57" s="216"/>
      <c r="AU57" s="216"/>
      <c r="AV57" s="216"/>
      <c r="AW57" s="216"/>
      <c r="AX57" s="216"/>
      <c r="AY57" s="216"/>
      <c r="AZ57" s="216"/>
      <c r="BA57" s="216"/>
      <c r="BB57" s="216"/>
      <c r="BC57" s="216"/>
      <c r="BD57" s="216"/>
      <c r="BE57" s="206"/>
      <c r="BF57" s="206"/>
      <c r="BG57" s="206"/>
      <c r="BH57" s="206"/>
      <c r="BI57" s="206"/>
      <c r="BJ57" s="206"/>
      <c r="BK57" s="206"/>
      <c r="BL57" s="206"/>
      <c r="BM57" s="206"/>
      <c r="BN57" s="206"/>
      <c r="BO57" s="206"/>
      <c r="BP57" s="206"/>
      <c r="BQ57" s="206"/>
      <c r="BR57" s="206"/>
      <c r="BS57" s="206"/>
      <c r="BT57" s="206"/>
      <c r="BU57" s="206"/>
      <c r="BV57" s="206"/>
      <c r="BW57" s="206"/>
      <c r="BX57" s="206"/>
      <c r="BY57" s="206"/>
      <c r="BZ57" s="206"/>
      <c r="CA57" s="216"/>
      <c r="CB57" s="216"/>
      <c r="CC57" s="216"/>
      <c r="CD57" s="216"/>
      <c r="CE57" s="216"/>
      <c r="CF57" s="216"/>
      <c r="CG57" s="216"/>
      <c r="CH57" s="216"/>
      <c r="CI57" s="216"/>
      <c r="CJ57" s="216"/>
      <c r="CK57" s="216"/>
      <c r="CL57" s="216"/>
      <c r="CM57" s="216"/>
      <c r="CN57" s="216"/>
      <c r="CO57" s="216"/>
      <c r="CP57" s="216"/>
      <c r="CQ57" s="216"/>
      <c r="CR57" s="216"/>
      <c r="CS57" s="216"/>
      <c r="CT57" s="216"/>
      <c r="CU57" s="216"/>
      <c r="CV57" s="216"/>
      <c r="CW57" s="216"/>
      <c r="CX57" s="216"/>
      <c r="CY57" s="216"/>
      <c r="CZ57" s="216"/>
      <c r="DA57" s="216"/>
      <c r="DB57" s="216"/>
      <c r="DC57" s="216"/>
      <c r="DD57" s="216"/>
      <c r="DE57" s="216"/>
      <c r="DF57" s="216"/>
      <c r="DG57" s="216"/>
      <c r="DH57" s="216"/>
      <c r="DI57" s="216"/>
      <c r="DJ57" s="216"/>
      <c r="DK57" s="216"/>
      <c r="DL57" s="216"/>
      <c r="DM57" s="216"/>
      <c r="DN57" s="216"/>
      <c r="DO57" s="216"/>
      <c r="DP57" s="216"/>
      <c r="DQ57" s="216"/>
      <c r="DR57" s="216"/>
      <c r="DS57" s="216"/>
      <c r="DT57" s="216"/>
      <c r="DU57" s="216"/>
      <c r="DV57" s="216"/>
      <c r="DW57" s="216"/>
      <c r="DX57" s="216"/>
      <c r="DY57" s="216"/>
      <c r="DZ57" s="216"/>
      <c r="EA57" s="216"/>
      <c r="EB57" s="216"/>
      <c r="EC57" s="216"/>
      <c r="ED57" s="216"/>
      <c r="EE57" s="216"/>
      <c r="EF57" s="216"/>
      <c r="EG57" s="216"/>
      <c r="EH57" s="216"/>
      <c r="EI57" s="216"/>
      <c r="EJ57" s="216"/>
      <c r="EK57" s="216"/>
      <c r="EL57" s="216"/>
      <c r="EM57" s="216"/>
      <c r="EN57" s="216"/>
      <c r="EO57" s="216"/>
      <c r="EP57" s="216"/>
      <c r="EQ57" s="216"/>
      <c r="ER57" s="216"/>
      <c r="ES57" s="216"/>
      <c r="ET57" s="216"/>
      <c r="EU57" s="216"/>
      <c r="EV57" s="216"/>
      <c r="EW57" s="216"/>
      <c r="EX57" s="216"/>
      <c r="EY57" s="216"/>
      <c r="EZ57" s="40"/>
    </row>
    <row r="58" spans="1:156" ht="15.6" x14ac:dyDescent="0.3">
      <c r="A58" s="39"/>
      <c r="B58" s="216"/>
      <c r="C58" s="216"/>
      <c r="D58" s="216"/>
      <c r="E58" s="216"/>
      <c r="F58" s="216"/>
      <c r="G58" s="216"/>
      <c r="H58" s="216"/>
      <c r="I58" s="216"/>
      <c r="J58" s="216"/>
      <c r="K58" s="216"/>
      <c r="L58" s="216"/>
      <c r="M58" s="216"/>
      <c r="N58" s="216"/>
      <c r="O58" s="216"/>
      <c r="P58" s="216"/>
      <c r="Q58" s="216"/>
      <c r="R58" s="216"/>
      <c r="S58" s="216"/>
      <c r="T58" s="216"/>
      <c r="U58" s="216"/>
      <c r="V58" s="216"/>
      <c r="W58" s="216"/>
      <c r="X58" s="216"/>
      <c r="Y58" s="216"/>
      <c r="Z58" s="216"/>
      <c r="AA58" s="216"/>
      <c r="AB58" s="216"/>
      <c r="AC58" s="216"/>
      <c r="AD58" s="216"/>
      <c r="AE58" s="216"/>
      <c r="AF58" s="216"/>
      <c r="AG58" s="216"/>
      <c r="AH58" s="216"/>
      <c r="AI58" s="216"/>
      <c r="AJ58" s="216"/>
      <c r="AK58" s="216"/>
      <c r="AL58" s="216"/>
      <c r="AM58" s="216"/>
      <c r="AN58" s="216"/>
      <c r="AO58" s="216"/>
      <c r="AP58" s="216"/>
      <c r="AQ58" s="216"/>
      <c r="AR58" s="216"/>
      <c r="AS58" s="216"/>
      <c r="AT58" s="216"/>
      <c r="AU58" s="216"/>
      <c r="AV58" s="216"/>
      <c r="AW58" s="216"/>
      <c r="AX58" s="216"/>
      <c r="AY58" s="216"/>
      <c r="AZ58" s="216"/>
      <c r="BA58" s="216"/>
      <c r="BB58" s="216"/>
      <c r="BC58" s="216"/>
      <c r="BD58" s="216"/>
      <c r="BE58" s="206"/>
      <c r="BF58" s="206"/>
      <c r="BG58" s="206"/>
      <c r="BH58" s="206"/>
      <c r="BI58" s="206"/>
      <c r="BJ58" s="206"/>
      <c r="BK58" s="206"/>
      <c r="BL58" s="206"/>
      <c r="BM58" s="206"/>
      <c r="BN58" s="206"/>
      <c r="BO58" s="206"/>
      <c r="BP58" s="206"/>
      <c r="BQ58" s="206"/>
      <c r="BR58" s="206"/>
      <c r="BS58" s="206"/>
      <c r="BT58" s="206"/>
      <c r="BU58" s="206"/>
      <c r="BV58" s="206"/>
      <c r="BW58" s="206"/>
      <c r="BX58" s="206"/>
      <c r="BY58" s="206"/>
      <c r="BZ58" s="206"/>
      <c r="CA58" s="216"/>
      <c r="CB58" s="216"/>
      <c r="CC58" s="216"/>
      <c r="CD58" s="216"/>
      <c r="CE58" s="216"/>
      <c r="CF58" s="216"/>
      <c r="CG58" s="216"/>
      <c r="CH58" s="216"/>
      <c r="CI58" s="216"/>
      <c r="CJ58" s="216"/>
      <c r="CK58" s="216"/>
      <c r="CL58" s="216"/>
      <c r="CM58" s="216"/>
      <c r="CN58" s="216"/>
      <c r="CO58" s="216"/>
      <c r="CP58" s="216"/>
      <c r="CQ58" s="216"/>
      <c r="CR58" s="216"/>
      <c r="CS58" s="216"/>
      <c r="CT58" s="216"/>
      <c r="CU58" s="216"/>
      <c r="CV58" s="216"/>
      <c r="CW58" s="216"/>
      <c r="CX58" s="216"/>
      <c r="CY58" s="216"/>
      <c r="CZ58" s="216"/>
      <c r="DA58" s="216"/>
      <c r="DB58" s="216"/>
      <c r="DC58" s="216"/>
      <c r="DD58" s="216"/>
      <c r="DE58" s="216"/>
      <c r="DF58" s="216"/>
      <c r="DG58" s="216"/>
      <c r="DH58" s="216"/>
      <c r="DI58" s="216"/>
      <c r="DJ58" s="216"/>
      <c r="DK58" s="216"/>
      <c r="DL58" s="216"/>
      <c r="DM58" s="216"/>
      <c r="DN58" s="216"/>
      <c r="DO58" s="216"/>
      <c r="DP58" s="216"/>
      <c r="DQ58" s="216"/>
      <c r="DR58" s="216"/>
      <c r="DS58" s="216"/>
      <c r="DT58" s="216"/>
      <c r="DU58" s="216"/>
      <c r="DV58" s="216"/>
      <c r="DW58" s="216"/>
      <c r="DX58" s="216"/>
      <c r="DY58" s="216"/>
      <c r="DZ58" s="216"/>
      <c r="EA58" s="216"/>
      <c r="EB58" s="216"/>
      <c r="EC58" s="216"/>
      <c r="ED58" s="216"/>
      <c r="EE58" s="216"/>
      <c r="EF58" s="216"/>
      <c r="EG58" s="216"/>
      <c r="EH58" s="216"/>
      <c r="EI58" s="216"/>
      <c r="EJ58" s="216"/>
      <c r="EK58" s="216"/>
      <c r="EL58" s="216"/>
      <c r="EM58" s="216"/>
      <c r="EN58" s="216"/>
      <c r="EO58" s="216"/>
      <c r="EP58" s="216"/>
      <c r="EQ58" s="216"/>
      <c r="ER58" s="216"/>
      <c r="ES58" s="216"/>
      <c r="ET58" s="216"/>
      <c r="EU58" s="216"/>
      <c r="EV58" s="216"/>
      <c r="EW58" s="216"/>
      <c r="EX58" s="216"/>
      <c r="EY58" s="216"/>
      <c r="EZ58" s="40"/>
    </row>
    <row r="59" spans="1:156" ht="15.6" x14ac:dyDescent="0.3">
      <c r="A59" s="39"/>
      <c r="B59" s="216"/>
      <c r="C59" s="216"/>
      <c r="D59" s="216"/>
      <c r="E59" s="216"/>
      <c r="F59" s="216"/>
      <c r="G59" s="216"/>
      <c r="H59" s="216"/>
      <c r="I59" s="216"/>
      <c r="J59" s="216"/>
      <c r="K59" s="216"/>
      <c r="L59" s="216"/>
      <c r="M59" s="216"/>
      <c r="N59" s="216"/>
      <c r="O59" s="216"/>
      <c r="P59" s="216"/>
      <c r="Q59" s="216"/>
      <c r="R59" s="216"/>
      <c r="S59" s="216"/>
      <c r="T59" s="216"/>
      <c r="U59" s="216"/>
      <c r="V59" s="216"/>
      <c r="W59" s="216"/>
      <c r="X59" s="216"/>
      <c r="Y59" s="216"/>
      <c r="Z59" s="216"/>
      <c r="AA59" s="216"/>
      <c r="AB59" s="216"/>
      <c r="AC59" s="216"/>
      <c r="AD59" s="216"/>
      <c r="AE59" s="216"/>
      <c r="AF59" s="216"/>
      <c r="AG59" s="216"/>
      <c r="AH59" s="216"/>
      <c r="AI59" s="216"/>
      <c r="AJ59" s="216"/>
      <c r="AK59" s="216"/>
      <c r="AL59" s="216"/>
      <c r="AM59" s="216"/>
      <c r="AN59" s="216"/>
      <c r="AO59" s="216"/>
      <c r="AP59" s="216"/>
      <c r="AQ59" s="216"/>
      <c r="AR59" s="216"/>
      <c r="AS59" s="216"/>
      <c r="AT59" s="216"/>
      <c r="AU59" s="216"/>
      <c r="AV59" s="216"/>
      <c r="AW59" s="216"/>
      <c r="AX59" s="216"/>
      <c r="AY59" s="216"/>
      <c r="AZ59" s="216"/>
      <c r="BA59" s="216"/>
      <c r="BB59" s="216"/>
      <c r="BC59" s="216"/>
      <c r="BD59" s="216"/>
      <c r="BE59" s="206"/>
      <c r="BF59" s="206"/>
      <c r="BG59" s="206"/>
      <c r="BH59" s="206"/>
      <c r="BI59" s="206"/>
      <c r="BJ59" s="206"/>
      <c r="BK59" s="206"/>
      <c r="BL59" s="206"/>
      <c r="BM59" s="206"/>
      <c r="BN59" s="206"/>
      <c r="BO59" s="206"/>
      <c r="BP59" s="206"/>
      <c r="BQ59" s="206"/>
      <c r="BR59" s="206"/>
      <c r="BS59" s="206"/>
      <c r="BT59" s="206"/>
      <c r="BU59" s="206"/>
      <c r="BV59" s="206"/>
      <c r="BW59" s="206"/>
      <c r="BX59" s="206"/>
      <c r="BY59" s="206"/>
      <c r="BZ59" s="206"/>
      <c r="CA59" s="216"/>
      <c r="CB59" s="216"/>
      <c r="CC59" s="216"/>
      <c r="CD59" s="216"/>
      <c r="CE59" s="216"/>
      <c r="CF59" s="216"/>
      <c r="CG59" s="216"/>
      <c r="CH59" s="216"/>
      <c r="CI59" s="216"/>
      <c r="CJ59" s="216"/>
      <c r="CK59" s="216"/>
      <c r="CL59" s="216"/>
      <c r="CM59" s="216"/>
      <c r="CN59" s="216"/>
      <c r="CO59" s="216"/>
      <c r="CP59" s="216"/>
      <c r="CQ59" s="216"/>
      <c r="CR59" s="216"/>
      <c r="CS59" s="216"/>
      <c r="CT59" s="216"/>
      <c r="CU59" s="216"/>
      <c r="CV59" s="216"/>
      <c r="CW59" s="216"/>
      <c r="CX59" s="216"/>
      <c r="CY59" s="216"/>
      <c r="CZ59" s="216"/>
      <c r="DA59" s="216"/>
      <c r="DB59" s="216"/>
      <c r="DC59" s="216"/>
      <c r="DD59" s="216"/>
      <c r="DE59" s="216"/>
      <c r="DF59" s="216"/>
      <c r="DG59" s="216"/>
      <c r="DH59" s="216"/>
      <c r="DI59" s="216"/>
      <c r="DJ59" s="216"/>
      <c r="DK59" s="216"/>
      <c r="DL59" s="216"/>
      <c r="DM59" s="216"/>
      <c r="DN59" s="216"/>
      <c r="DO59" s="216"/>
      <c r="DP59" s="216"/>
      <c r="DQ59" s="216"/>
      <c r="DR59" s="216"/>
      <c r="DS59" s="216"/>
      <c r="DT59" s="216"/>
      <c r="DU59" s="216"/>
      <c r="DV59" s="216"/>
      <c r="DW59" s="216"/>
      <c r="DX59" s="216"/>
      <c r="DY59" s="216"/>
      <c r="DZ59" s="216"/>
      <c r="EA59" s="216"/>
      <c r="EB59" s="216"/>
      <c r="EC59" s="216"/>
      <c r="ED59" s="216"/>
      <c r="EE59" s="216"/>
      <c r="EF59" s="216"/>
      <c r="EG59" s="216"/>
      <c r="EH59" s="216"/>
      <c r="EI59" s="216"/>
      <c r="EJ59" s="216"/>
      <c r="EK59" s="216"/>
      <c r="EL59" s="216"/>
      <c r="EM59" s="216"/>
      <c r="EN59" s="216"/>
      <c r="EO59" s="216"/>
      <c r="EP59" s="216"/>
      <c r="EQ59" s="216"/>
      <c r="ER59" s="216"/>
      <c r="ES59" s="216"/>
      <c r="ET59" s="216"/>
      <c r="EU59" s="216"/>
      <c r="EV59" s="216"/>
      <c r="EW59" s="216"/>
      <c r="EX59" s="216"/>
      <c r="EY59" s="216"/>
      <c r="EZ59" s="40"/>
    </row>
    <row r="60" spans="1:156" ht="15.6" x14ac:dyDescent="0.3">
      <c r="A60" s="39"/>
      <c r="B60" s="216"/>
      <c r="C60" s="216"/>
      <c r="D60" s="216"/>
      <c r="E60" s="216"/>
      <c r="F60" s="216"/>
      <c r="G60" s="216"/>
      <c r="H60" s="216"/>
      <c r="I60" s="216"/>
      <c r="J60" s="216"/>
      <c r="K60" s="216"/>
      <c r="L60" s="216"/>
      <c r="M60" s="216"/>
      <c r="N60" s="216"/>
      <c r="O60" s="216"/>
      <c r="P60" s="216"/>
      <c r="Q60" s="216"/>
      <c r="R60" s="216"/>
      <c r="S60" s="216"/>
      <c r="T60" s="216"/>
      <c r="U60" s="216"/>
      <c r="V60" s="216"/>
      <c r="W60" s="216"/>
      <c r="X60" s="216"/>
      <c r="Y60" s="216"/>
      <c r="Z60" s="216"/>
      <c r="AA60" s="216"/>
      <c r="AB60" s="216"/>
      <c r="AC60" s="216"/>
      <c r="AD60" s="216"/>
      <c r="AE60" s="216"/>
      <c r="AF60" s="216"/>
      <c r="AG60" s="216"/>
      <c r="AH60" s="216"/>
      <c r="AI60" s="216"/>
      <c r="AJ60" s="216"/>
      <c r="AK60" s="216"/>
      <c r="AL60" s="216"/>
      <c r="AM60" s="216"/>
      <c r="AN60" s="216"/>
      <c r="AO60" s="216"/>
      <c r="AP60" s="216"/>
      <c r="AQ60" s="216"/>
      <c r="AR60" s="216"/>
      <c r="AS60" s="216"/>
      <c r="AT60" s="216"/>
      <c r="AU60" s="216"/>
      <c r="AV60" s="216"/>
      <c r="AW60" s="216"/>
      <c r="AX60" s="216"/>
      <c r="AY60" s="216"/>
      <c r="AZ60" s="216"/>
      <c r="BA60" s="216"/>
      <c r="BB60" s="216"/>
      <c r="BC60" s="216"/>
      <c r="BD60" s="216"/>
      <c r="BE60" s="206"/>
      <c r="BF60" s="206"/>
      <c r="BG60" s="206"/>
      <c r="BH60" s="206"/>
      <c r="BI60" s="206"/>
      <c r="BJ60" s="206"/>
      <c r="BK60" s="206"/>
      <c r="BL60" s="206"/>
      <c r="BM60" s="206"/>
      <c r="BN60" s="206"/>
      <c r="BO60" s="206"/>
      <c r="BP60" s="206"/>
      <c r="BQ60" s="206"/>
      <c r="BR60" s="206"/>
      <c r="BS60" s="206"/>
      <c r="BT60" s="206"/>
      <c r="BU60" s="206"/>
      <c r="BV60" s="206"/>
      <c r="BW60" s="206"/>
      <c r="BX60" s="206"/>
      <c r="BY60" s="206"/>
      <c r="BZ60" s="206"/>
      <c r="CA60" s="216"/>
      <c r="CB60" s="216"/>
      <c r="CC60" s="216"/>
      <c r="CD60" s="216"/>
      <c r="CE60" s="216"/>
      <c r="CF60" s="216"/>
      <c r="CG60" s="216"/>
      <c r="CH60" s="216"/>
      <c r="CI60" s="216"/>
      <c r="CJ60" s="216"/>
      <c r="CK60" s="216"/>
      <c r="CL60" s="216"/>
      <c r="CM60" s="216"/>
      <c r="CN60" s="216"/>
      <c r="CO60" s="216"/>
      <c r="CP60" s="216"/>
      <c r="CQ60" s="216"/>
      <c r="CR60" s="216"/>
      <c r="CS60" s="216"/>
      <c r="CT60" s="216"/>
      <c r="CU60" s="216"/>
      <c r="CV60" s="216"/>
      <c r="CW60" s="216"/>
      <c r="CX60" s="216"/>
      <c r="CY60" s="216"/>
      <c r="CZ60" s="216"/>
      <c r="DA60" s="216"/>
      <c r="DB60" s="216"/>
      <c r="DC60" s="216"/>
      <c r="DD60" s="216"/>
      <c r="DE60" s="216"/>
      <c r="DF60" s="216"/>
      <c r="DG60" s="216"/>
      <c r="DH60" s="216"/>
      <c r="DI60" s="216"/>
      <c r="DJ60" s="216"/>
      <c r="DK60" s="216"/>
      <c r="DL60" s="216"/>
      <c r="DM60" s="216"/>
      <c r="DN60" s="216"/>
      <c r="DO60" s="216"/>
      <c r="DP60" s="216"/>
      <c r="DQ60" s="216"/>
      <c r="DR60" s="216"/>
      <c r="DS60" s="216"/>
      <c r="DT60" s="216"/>
      <c r="DU60" s="216"/>
      <c r="DV60" s="216"/>
      <c r="DW60" s="216"/>
      <c r="DX60" s="216"/>
      <c r="DY60" s="216"/>
      <c r="DZ60" s="216"/>
      <c r="EA60" s="216"/>
      <c r="EB60" s="216"/>
      <c r="EC60" s="216"/>
      <c r="ED60" s="216"/>
      <c r="EE60" s="216"/>
      <c r="EF60" s="216"/>
      <c r="EG60" s="216"/>
      <c r="EH60" s="216"/>
      <c r="EI60" s="216"/>
      <c r="EJ60" s="216"/>
      <c r="EK60" s="216"/>
      <c r="EL60" s="216"/>
      <c r="EM60" s="216"/>
      <c r="EN60" s="216"/>
      <c r="EO60" s="216"/>
      <c r="EP60" s="216"/>
      <c r="EQ60" s="216"/>
      <c r="ER60" s="216"/>
      <c r="ES60" s="216"/>
      <c r="ET60" s="216"/>
      <c r="EU60" s="216"/>
      <c r="EV60" s="216"/>
      <c r="EW60" s="216"/>
      <c r="EX60" s="216"/>
      <c r="EY60" s="216"/>
      <c r="EZ60" s="40"/>
    </row>
    <row r="61" spans="1:156" ht="15.6" x14ac:dyDescent="0.3">
      <c r="A61" s="39"/>
      <c r="B61" s="216"/>
      <c r="C61" s="216"/>
      <c r="D61" s="216"/>
      <c r="E61" s="216"/>
      <c r="F61" s="216"/>
      <c r="G61" s="216"/>
      <c r="H61" s="216"/>
      <c r="I61" s="216"/>
      <c r="J61" s="216"/>
      <c r="K61" s="216"/>
      <c r="L61" s="216"/>
      <c r="M61" s="216"/>
      <c r="N61" s="216"/>
      <c r="O61" s="216"/>
      <c r="P61" s="216"/>
      <c r="Q61" s="216"/>
      <c r="R61" s="216"/>
      <c r="S61" s="216"/>
      <c r="T61" s="216"/>
      <c r="U61" s="216"/>
      <c r="V61" s="216"/>
      <c r="W61" s="216"/>
      <c r="X61" s="216"/>
      <c r="Y61" s="216"/>
      <c r="Z61" s="216"/>
      <c r="AA61" s="216"/>
      <c r="AB61" s="216"/>
      <c r="AC61" s="216"/>
      <c r="AD61" s="216"/>
      <c r="AE61" s="216"/>
      <c r="AF61" s="216"/>
      <c r="AG61" s="216"/>
      <c r="AH61" s="216"/>
      <c r="AI61" s="216"/>
      <c r="AJ61" s="216"/>
      <c r="AK61" s="216"/>
      <c r="AL61" s="216"/>
      <c r="AM61" s="216"/>
      <c r="AN61" s="216"/>
      <c r="AO61" s="216"/>
      <c r="AP61" s="216"/>
      <c r="AQ61" s="216"/>
      <c r="AR61" s="216"/>
      <c r="AS61" s="216"/>
      <c r="AT61" s="216"/>
      <c r="AU61" s="216"/>
      <c r="AV61" s="216"/>
      <c r="AW61" s="216"/>
      <c r="AX61" s="216"/>
      <c r="AY61" s="216"/>
      <c r="AZ61" s="216"/>
      <c r="BA61" s="216"/>
      <c r="BB61" s="216"/>
      <c r="BC61" s="216"/>
      <c r="BD61" s="216"/>
      <c r="BE61" s="206"/>
      <c r="BF61" s="206"/>
      <c r="BG61" s="206"/>
      <c r="BH61" s="206"/>
      <c r="BI61" s="206"/>
      <c r="BJ61" s="206"/>
      <c r="BK61" s="206"/>
      <c r="BL61" s="206"/>
      <c r="BM61" s="206"/>
      <c r="BN61" s="206"/>
      <c r="BO61" s="206"/>
      <c r="BP61" s="206"/>
      <c r="BQ61" s="206"/>
      <c r="BR61" s="206"/>
      <c r="BS61" s="206"/>
      <c r="BT61" s="206"/>
      <c r="BU61" s="206"/>
      <c r="BV61" s="206"/>
      <c r="BW61" s="206"/>
      <c r="BX61" s="206"/>
      <c r="BY61" s="206"/>
      <c r="BZ61" s="206"/>
      <c r="CA61" s="216"/>
      <c r="CB61" s="216"/>
      <c r="CC61" s="216"/>
      <c r="CD61" s="216"/>
      <c r="CE61" s="216"/>
      <c r="CF61" s="216"/>
      <c r="CG61" s="216"/>
      <c r="CH61" s="216"/>
      <c r="CI61" s="216"/>
      <c r="CJ61" s="216"/>
      <c r="CK61" s="216"/>
      <c r="CL61" s="216"/>
      <c r="CM61" s="216"/>
      <c r="CN61" s="216"/>
      <c r="CO61" s="216"/>
      <c r="CP61" s="216"/>
      <c r="CQ61" s="216"/>
      <c r="CR61" s="216"/>
      <c r="CS61" s="216"/>
      <c r="CT61" s="216"/>
      <c r="CU61" s="216"/>
      <c r="CV61" s="216"/>
      <c r="CW61" s="216"/>
      <c r="CX61" s="216"/>
      <c r="CY61" s="216"/>
      <c r="CZ61" s="216"/>
      <c r="DA61" s="216"/>
      <c r="DB61" s="216"/>
      <c r="DC61" s="216"/>
      <c r="DD61" s="216"/>
      <c r="DE61" s="216"/>
      <c r="DF61" s="216"/>
      <c r="DG61" s="216"/>
      <c r="DH61" s="216"/>
      <c r="DI61" s="216"/>
      <c r="DJ61" s="216"/>
      <c r="DK61" s="216"/>
      <c r="DL61" s="216"/>
      <c r="DM61" s="216"/>
      <c r="DN61" s="216"/>
      <c r="DO61" s="216"/>
      <c r="DP61" s="216"/>
      <c r="DQ61" s="216"/>
      <c r="DR61" s="216"/>
      <c r="DS61" s="216"/>
      <c r="DT61" s="216"/>
      <c r="DU61" s="216"/>
      <c r="DV61" s="216"/>
      <c r="DW61" s="216"/>
      <c r="DX61" s="216"/>
      <c r="DY61" s="216"/>
      <c r="DZ61" s="216"/>
      <c r="EA61" s="216"/>
      <c r="EB61" s="216"/>
      <c r="EC61" s="216"/>
      <c r="ED61" s="216"/>
      <c r="EE61" s="216"/>
      <c r="EF61" s="216"/>
      <c r="EG61" s="216"/>
      <c r="EH61" s="216"/>
      <c r="EI61" s="216"/>
      <c r="EJ61" s="216"/>
      <c r="EK61" s="216"/>
      <c r="EL61" s="216"/>
      <c r="EM61" s="216"/>
      <c r="EN61" s="216"/>
      <c r="EO61" s="216"/>
      <c r="EP61" s="216"/>
      <c r="EQ61" s="216"/>
      <c r="ER61" s="216"/>
      <c r="ES61" s="216"/>
      <c r="ET61" s="216"/>
      <c r="EU61" s="216"/>
      <c r="EV61" s="216"/>
      <c r="EW61" s="216"/>
      <c r="EX61" s="216"/>
      <c r="EY61" s="216"/>
      <c r="EZ61" s="40"/>
    </row>
    <row r="62" spans="1:156" ht="15.6" x14ac:dyDescent="0.3">
      <c r="A62" s="39"/>
      <c r="B62" s="216"/>
      <c r="C62" s="216"/>
      <c r="D62" s="216"/>
      <c r="E62" s="216"/>
      <c r="F62" s="216"/>
      <c r="G62" s="216"/>
      <c r="H62" s="216"/>
      <c r="I62" s="216"/>
      <c r="J62" s="216"/>
      <c r="K62" s="216"/>
      <c r="L62" s="216"/>
      <c r="M62" s="216"/>
      <c r="N62" s="216"/>
      <c r="O62" s="216"/>
      <c r="P62" s="216"/>
      <c r="Q62" s="216"/>
      <c r="R62" s="216"/>
      <c r="S62" s="216"/>
      <c r="T62" s="216"/>
      <c r="U62" s="216"/>
      <c r="V62" s="216"/>
      <c r="W62" s="216"/>
      <c r="X62" s="216"/>
      <c r="Y62" s="216"/>
      <c r="Z62" s="216"/>
      <c r="AA62" s="216"/>
      <c r="AB62" s="216"/>
      <c r="AC62" s="216"/>
      <c r="AD62" s="216"/>
      <c r="AE62" s="216"/>
      <c r="AF62" s="216"/>
      <c r="AG62" s="216"/>
      <c r="AH62" s="216"/>
      <c r="AI62" s="216"/>
      <c r="AJ62" s="216"/>
      <c r="AK62" s="216"/>
      <c r="AL62" s="216"/>
      <c r="AM62" s="216"/>
      <c r="AN62" s="216"/>
      <c r="AO62" s="216"/>
      <c r="AP62" s="216"/>
      <c r="AQ62" s="216"/>
      <c r="AR62" s="216"/>
      <c r="AS62" s="216"/>
      <c r="AT62" s="216"/>
      <c r="AU62" s="216"/>
      <c r="AV62" s="216"/>
      <c r="AW62" s="216"/>
      <c r="AX62" s="216"/>
      <c r="AY62" s="216"/>
      <c r="AZ62" s="216"/>
      <c r="BA62" s="216"/>
      <c r="BB62" s="216"/>
      <c r="BC62" s="216"/>
      <c r="BD62" s="216"/>
      <c r="BE62" s="206"/>
      <c r="BF62" s="206"/>
      <c r="BG62" s="206"/>
      <c r="BH62" s="206"/>
      <c r="BI62" s="206"/>
      <c r="BJ62" s="206"/>
      <c r="BK62" s="206"/>
      <c r="BL62" s="206"/>
      <c r="BM62" s="206"/>
      <c r="BN62" s="206"/>
      <c r="BO62" s="206"/>
      <c r="BP62" s="206"/>
      <c r="BQ62" s="206"/>
      <c r="BR62" s="206"/>
      <c r="BS62" s="206"/>
      <c r="BT62" s="206"/>
      <c r="BU62" s="206"/>
      <c r="BV62" s="206"/>
      <c r="BW62" s="206"/>
      <c r="BX62" s="206"/>
      <c r="BY62" s="206"/>
      <c r="BZ62" s="206"/>
      <c r="CA62" s="216"/>
      <c r="CB62" s="216"/>
      <c r="CC62" s="216"/>
      <c r="CD62" s="216"/>
      <c r="CE62" s="216"/>
      <c r="CF62" s="216"/>
      <c r="CG62" s="216"/>
      <c r="CH62" s="216"/>
      <c r="CI62" s="216"/>
      <c r="CJ62" s="216"/>
      <c r="CK62" s="216"/>
      <c r="CL62" s="216"/>
      <c r="CM62" s="216"/>
      <c r="CN62" s="216"/>
      <c r="CO62" s="216"/>
      <c r="CP62" s="216"/>
      <c r="CQ62" s="216"/>
      <c r="CR62" s="216"/>
      <c r="CS62" s="216"/>
      <c r="CT62" s="216"/>
      <c r="CU62" s="216"/>
      <c r="CV62" s="216"/>
      <c r="CW62" s="216"/>
      <c r="CX62" s="216"/>
      <c r="CY62" s="216"/>
      <c r="CZ62" s="216"/>
      <c r="DA62" s="216"/>
      <c r="DB62" s="216"/>
      <c r="DC62" s="216"/>
      <c r="DD62" s="216"/>
      <c r="DE62" s="216"/>
      <c r="DF62" s="216"/>
      <c r="DG62" s="216"/>
      <c r="DH62" s="216"/>
      <c r="DI62" s="216"/>
      <c r="DJ62" s="216"/>
      <c r="DK62" s="216"/>
      <c r="DL62" s="216"/>
      <c r="DM62" s="216"/>
      <c r="DN62" s="216"/>
      <c r="DO62" s="216"/>
      <c r="DP62" s="216"/>
      <c r="DQ62" s="216"/>
      <c r="DR62" s="216"/>
      <c r="DS62" s="216"/>
      <c r="DT62" s="216"/>
      <c r="DU62" s="216"/>
      <c r="DV62" s="216"/>
      <c r="DW62" s="216"/>
      <c r="DX62" s="216"/>
      <c r="DY62" s="216"/>
      <c r="DZ62" s="216"/>
      <c r="EA62" s="216"/>
      <c r="EB62" s="216"/>
      <c r="EC62" s="216"/>
      <c r="ED62" s="216"/>
      <c r="EE62" s="216"/>
      <c r="EF62" s="216"/>
      <c r="EG62" s="216"/>
      <c r="EH62" s="216"/>
      <c r="EI62" s="216"/>
      <c r="EJ62" s="216"/>
      <c r="EK62" s="216"/>
      <c r="EL62" s="216"/>
      <c r="EM62" s="216"/>
      <c r="EN62" s="216"/>
      <c r="EO62" s="216"/>
      <c r="EP62" s="216"/>
      <c r="EQ62" s="216"/>
      <c r="ER62" s="216"/>
      <c r="ES62" s="216"/>
      <c r="ET62" s="216"/>
      <c r="EU62" s="216"/>
      <c r="EV62" s="216"/>
      <c r="EW62" s="216"/>
      <c r="EX62" s="216"/>
      <c r="EY62" s="216"/>
      <c r="EZ62" s="40"/>
    </row>
    <row r="63" spans="1:156" ht="15.6" x14ac:dyDescent="0.3">
      <c r="A63" s="55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  <c r="BD63" s="56"/>
      <c r="BE63" s="56"/>
      <c r="BF63" s="56"/>
      <c r="BG63" s="56"/>
      <c r="BH63" s="56"/>
      <c r="BI63" s="56"/>
      <c r="BJ63" s="56"/>
      <c r="BK63" s="56"/>
      <c r="BL63" s="56"/>
      <c r="BM63" s="56"/>
      <c r="BN63" s="56"/>
      <c r="BO63" s="56"/>
      <c r="BP63" s="56"/>
      <c r="BQ63" s="56"/>
      <c r="BR63" s="56"/>
      <c r="BS63" s="56"/>
      <c r="BT63" s="56"/>
      <c r="BU63" s="56"/>
      <c r="BV63" s="56"/>
      <c r="BW63" s="56"/>
      <c r="BX63" s="56"/>
      <c r="BY63" s="56"/>
      <c r="BZ63" s="56"/>
      <c r="CA63" s="56"/>
      <c r="CB63" s="56"/>
      <c r="CC63" s="56"/>
      <c r="CD63" s="56"/>
      <c r="CE63" s="56"/>
      <c r="CF63" s="56"/>
      <c r="CG63" s="56"/>
      <c r="CH63" s="56"/>
      <c r="CI63" s="56"/>
      <c r="CJ63" s="56"/>
      <c r="CK63" s="56"/>
      <c r="CL63" s="56"/>
      <c r="CM63" s="56"/>
      <c r="CN63" s="56"/>
      <c r="CO63" s="56"/>
      <c r="CP63" s="56"/>
      <c r="CQ63" s="56"/>
      <c r="CR63" s="56"/>
      <c r="CS63" s="56"/>
      <c r="CT63" s="56"/>
      <c r="CU63" s="56"/>
      <c r="CV63" s="56"/>
      <c r="CW63" s="56"/>
      <c r="CX63" s="56"/>
      <c r="CY63" s="56"/>
      <c r="CZ63" s="56"/>
      <c r="DA63" s="56"/>
      <c r="DB63" s="56"/>
      <c r="DC63" s="56"/>
      <c r="DD63" s="56"/>
      <c r="DE63" s="56"/>
      <c r="DF63" s="56"/>
      <c r="DG63" s="56"/>
      <c r="DH63" s="56"/>
      <c r="DI63" s="56"/>
      <c r="DJ63" s="56"/>
      <c r="DK63" s="56"/>
      <c r="DL63" s="56"/>
      <c r="DM63" s="56"/>
      <c r="DN63" s="56"/>
      <c r="DO63" s="56"/>
      <c r="DP63" s="56"/>
      <c r="DQ63" s="56"/>
      <c r="DR63" s="56"/>
      <c r="DS63" s="56"/>
      <c r="DT63" s="56"/>
      <c r="DU63" s="56"/>
      <c r="DV63" s="56"/>
      <c r="DW63" s="56"/>
      <c r="DX63" s="56"/>
      <c r="DY63" s="56"/>
      <c r="DZ63" s="56"/>
      <c r="EA63" s="56"/>
      <c r="EB63" s="56"/>
      <c r="EC63" s="56"/>
      <c r="ED63" s="56"/>
      <c r="EE63" s="56"/>
      <c r="EF63" s="56"/>
      <c r="EG63" s="56"/>
      <c r="EH63" s="56"/>
      <c r="EI63" s="56"/>
      <c r="EJ63" s="56"/>
      <c r="EK63" s="56"/>
      <c r="EL63" s="56"/>
      <c r="EM63" s="56"/>
      <c r="EN63" s="56"/>
      <c r="EO63" s="56"/>
      <c r="EP63" s="56"/>
      <c r="EQ63" s="56"/>
      <c r="ER63" s="56"/>
      <c r="ES63" s="56"/>
      <c r="ET63" s="56"/>
      <c r="EU63" s="56"/>
      <c r="EV63" s="56"/>
      <c r="EW63" s="56"/>
      <c r="EX63" s="56"/>
      <c r="EY63" s="56"/>
      <c r="EZ63" s="57"/>
    </row>
    <row r="65" spans="2:87" ht="18.899999999999999" customHeight="1" x14ac:dyDescent="0.35">
      <c r="B65" s="203" t="s">
        <v>113</v>
      </c>
      <c r="C65" s="204"/>
      <c r="D65" s="204"/>
      <c r="E65" s="204"/>
      <c r="F65" s="204"/>
      <c r="G65" s="204"/>
      <c r="H65" s="204"/>
      <c r="I65" s="204"/>
      <c r="J65" s="204"/>
      <c r="K65" s="204"/>
      <c r="L65" s="204"/>
      <c r="M65" s="204"/>
      <c r="N65" s="204"/>
      <c r="O65" s="204"/>
      <c r="P65" s="204"/>
      <c r="Q65" s="204"/>
      <c r="R65" s="204"/>
      <c r="S65" s="204"/>
      <c r="T65" s="204"/>
      <c r="U65" s="204"/>
      <c r="V65" s="204"/>
      <c r="W65" s="204"/>
      <c r="X65" s="204"/>
      <c r="Y65" s="204"/>
      <c r="Z65" s="204"/>
      <c r="AA65" s="204"/>
      <c r="AB65" s="204"/>
      <c r="AC65" s="204"/>
      <c r="AD65" s="204"/>
      <c r="AE65" s="204"/>
      <c r="AF65" s="204"/>
      <c r="AG65" s="204"/>
      <c r="AH65" s="204"/>
      <c r="AI65" s="204"/>
      <c r="AJ65" s="204"/>
      <c r="AK65" s="204"/>
      <c r="AL65" s="204"/>
      <c r="AM65" s="204"/>
      <c r="AN65" s="204"/>
      <c r="AO65" s="204"/>
      <c r="AP65" s="204"/>
      <c r="AQ65" s="204"/>
      <c r="AR65" s="204"/>
      <c r="AS65" s="204"/>
      <c r="AT65" s="204"/>
      <c r="AU65" s="204"/>
      <c r="AV65" s="204"/>
      <c r="AW65" s="204"/>
      <c r="AX65" s="204"/>
      <c r="AY65" s="204"/>
      <c r="AZ65" s="204"/>
      <c r="BA65" s="204"/>
      <c r="BB65" s="204"/>
      <c r="BC65" s="204"/>
      <c r="BD65" s="204"/>
      <c r="BE65" s="205" t="s">
        <v>114</v>
      </c>
      <c r="BF65" s="205"/>
      <c r="BG65" s="205"/>
      <c r="BH65" s="205"/>
      <c r="BI65" s="205"/>
      <c r="BJ65" s="205"/>
      <c r="BK65" s="205"/>
      <c r="BL65" s="205"/>
      <c r="BM65" s="205"/>
      <c r="BN65" s="205"/>
      <c r="BO65" s="205"/>
      <c r="BP65" s="205" t="s">
        <v>115</v>
      </c>
      <c r="BQ65" s="205"/>
      <c r="BR65" s="205"/>
      <c r="BS65" s="205"/>
      <c r="BT65" s="205"/>
      <c r="BU65" s="205"/>
      <c r="BV65" s="205"/>
      <c r="BW65" s="205"/>
      <c r="BX65" s="205"/>
      <c r="BY65" s="205"/>
      <c r="BZ65" s="205"/>
      <c r="CA65" s="205" t="s">
        <v>116</v>
      </c>
      <c r="CB65" s="205"/>
      <c r="CC65" s="205"/>
      <c r="CD65" s="205"/>
      <c r="CE65" s="205"/>
      <c r="CF65" s="205"/>
      <c r="CG65" s="205"/>
      <c r="CH65" s="205"/>
      <c r="CI65" s="205"/>
    </row>
    <row r="66" spans="2:87" ht="15" customHeight="1" x14ac:dyDescent="0.3">
      <c r="B66" s="200" t="s">
        <v>117</v>
      </c>
      <c r="C66" s="201"/>
      <c r="D66" s="201"/>
      <c r="E66" s="201"/>
      <c r="F66" s="201"/>
      <c r="G66" s="201"/>
      <c r="H66" s="201"/>
      <c r="I66" s="201"/>
      <c r="J66" s="201"/>
      <c r="K66" s="201"/>
      <c r="L66" s="201"/>
      <c r="M66" s="201"/>
      <c r="N66" s="201"/>
      <c r="O66" s="201"/>
      <c r="P66" s="201"/>
      <c r="Q66" s="201"/>
      <c r="R66" s="201"/>
      <c r="S66" s="201"/>
      <c r="T66" s="201"/>
      <c r="U66" s="201"/>
      <c r="V66" s="201"/>
      <c r="W66" s="201"/>
      <c r="X66" s="201"/>
      <c r="Y66" s="201"/>
      <c r="Z66" s="201"/>
      <c r="AA66" s="201"/>
      <c r="AB66" s="201"/>
      <c r="AC66" s="201"/>
      <c r="AD66" s="201"/>
      <c r="AE66" s="201"/>
      <c r="AF66" s="201"/>
      <c r="AG66" s="201"/>
      <c r="AH66" s="201"/>
      <c r="AI66" s="201"/>
      <c r="AJ66" s="201"/>
      <c r="AK66" s="201"/>
      <c r="AL66" s="201"/>
      <c r="AM66" s="201"/>
      <c r="AN66" s="201"/>
      <c r="AO66" s="201"/>
      <c r="AP66" s="201"/>
      <c r="AQ66" s="201"/>
      <c r="AR66" s="201"/>
      <c r="AS66" s="201"/>
      <c r="AT66" s="201"/>
      <c r="AU66" s="201"/>
      <c r="AV66" s="201"/>
      <c r="AW66" s="201"/>
      <c r="AX66" s="201"/>
      <c r="AY66" s="201"/>
      <c r="AZ66" s="201"/>
      <c r="BA66" s="201"/>
      <c r="BB66" s="201"/>
      <c r="BC66" s="201"/>
      <c r="BD66" s="201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202"/>
      <c r="CB66" s="202"/>
      <c r="CC66" s="202"/>
      <c r="CD66" s="202"/>
      <c r="CE66" s="202"/>
      <c r="CF66" s="202"/>
      <c r="CG66" s="202"/>
      <c r="CH66" s="202"/>
      <c r="CI66" s="202"/>
    </row>
    <row r="67" spans="2:87" ht="15" customHeight="1" x14ac:dyDescent="0.3">
      <c r="B67" s="243" t="s">
        <v>118</v>
      </c>
      <c r="C67" s="243"/>
      <c r="D67" s="243"/>
      <c r="E67" s="243"/>
      <c r="F67" s="243"/>
      <c r="G67" s="243"/>
      <c r="H67" s="243"/>
      <c r="I67" s="243"/>
      <c r="J67" s="243"/>
      <c r="K67" s="243"/>
      <c r="L67" s="243"/>
      <c r="M67" s="243"/>
      <c r="N67" s="243"/>
      <c r="O67" s="243"/>
      <c r="P67" s="243"/>
      <c r="Q67" s="243"/>
      <c r="R67" s="243"/>
      <c r="S67" s="243"/>
      <c r="T67" s="243"/>
      <c r="U67" s="243"/>
      <c r="V67" s="243"/>
      <c r="W67" s="243"/>
      <c r="X67" s="243"/>
      <c r="Y67" s="243"/>
      <c r="Z67" s="243"/>
      <c r="AA67" s="243"/>
      <c r="AB67" s="243"/>
      <c r="AC67" s="243"/>
      <c r="AD67" s="243"/>
      <c r="AE67" s="243"/>
      <c r="AF67" s="243"/>
      <c r="AG67" s="243"/>
      <c r="AH67" s="243"/>
      <c r="AI67" s="243"/>
      <c r="AJ67" s="243"/>
      <c r="AK67" s="243"/>
      <c r="AL67" s="243"/>
      <c r="AM67" s="243"/>
      <c r="AN67" s="243"/>
      <c r="AO67" s="243"/>
      <c r="AP67" s="243"/>
      <c r="AQ67" s="243"/>
      <c r="AR67" s="243"/>
      <c r="AS67" s="243"/>
      <c r="AT67" s="243"/>
      <c r="AU67" s="243"/>
      <c r="AV67" s="243"/>
      <c r="AW67" s="243"/>
      <c r="AX67" s="243"/>
      <c r="AY67" s="243"/>
      <c r="AZ67" s="243"/>
      <c r="BA67" s="243"/>
      <c r="BB67" s="243"/>
      <c r="BC67" s="243"/>
      <c r="BD67" s="243"/>
      <c r="BE67" s="230" t="s">
        <v>119</v>
      </c>
      <c r="BF67" s="230"/>
      <c r="BG67" s="230"/>
      <c r="BH67" s="230"/>
      <c r="BI67" s="230"/>
      <c r="BJ67" s="230"/>
      <c r="BK67" s="230"/>
      <c r="BL67" s="230"/>
      <c r="BM67" s="230"/>
      <c r="BN67" s="230"/>
      <c r="BO67" s="230"/>
      <c r="BP67" s="231">
        <v>1</v>
      </c>
      <c r="BQ67" s="231"/>
      <c r="BR67" s="231"/>
      <c r="BS67" s="231"/>
      <c r="BT67" s="231"/>
      <c r="BU67" s="231"/>
      <c r="BV67" s="231"/>
      <c r="BW67" s="231"/>
      <c r="BX67" s="231"/>
      <c r="BY67" s="231"/>
      <c r="BZ67" s="231"/>
      <c r="CA67" s="225">
        <v>2</v>
      </c>
      <c r="CB67" s="225"/>
      <c r="CC67" s="225"/>
      <c r="CD67" s="225"/>
      <c r="CE67" s="225"/>
      <c r="CF67" s="225"/>
      <c r="CG67" s="225"/>
      <c r="CH67" s="225"/>
      <c r="CI67" s="225"/>
    </row>
    <row r="68" spans="2:87" x14ac:dyDescent="0.3">
      <c r="B68" s="242" t="s">
        <v>120</v>
      </c>
      <c r="C68" s="242"/>
      <c r="D68" s="242"/>
      <c r="E68" s="242"/>
      <c r="F68" s="242"/>
      <c r="G68" s="242"/>
      <c r="H68" s="242"/>
      <c r="I68" s="242"/>
      <c r="J68" s="242"/>
      <c r="K68" s="242"/>
      <c r="L68" s="242"/>
      <c r="M68" s="242"/>
      <c r="N68" s="242"/>
      <c r="O68" s="242"/>
      <c r="P68" s="242"/>
      <c r="Q68" s="242"/>
      <c r="R68" s="242"/>
      <c r="S68" s="242"/>
      <c r="T68" s="242"/>
      <c r="U68" s="242"/>
      <c r="V68" s="242"/>
      <c r="W68" s="242"/>
      <c r="X68" s="242"/>
      <c r="Y68" s="242"/>
      <c r="Z68" s="242"/>
      <c r="AA68" s="242"/>
      <c r="AB68" s="242"/>
      <c r="AC68" s="242"/>
      <c r="AD68" s="242"/>
      <c r="AE68" s="242"/>
      <c r="AF68" s="242"/>
      <c r="AG68" s="242"/>
      <c r="AH68" s="242"/>
      <c r="AI68" s="242"/>
      <c r="AJ68" s="242"/>
      <c r="AK68" s="242"/>
      <c r="AL68" s="242"/>
      <c r="AM68" s="242"/>
      <c r="AN68" s="242"/>
      <c r="AO68" s="242"/>
      <c r="AP68" s="242"/>
      <c r="AQ68" s="242"/>
      <c r="AR68" s="242"/>
      <c r="AS68" s="242"/>
      <c r="AT68" s="242"/>
      <c r="AU68" s="242"/>
      <c r="AV68" s="242"/>
      <c r="AW68" s="242"/>
      <c r="AX68" s="242"/>
      <c r="AY68" s="242"/>
      <c r="AZ68" s="242"/>
      <c r="BA68" s="242"/>
      <c r="BB68" s="242"/>
      <c r="BC68" s="242"/>
      <c r="BD68" s="242"/>
      <c r="BE68" s="230" t="s">
        <v>46</v>
      </c>
      <c r="BF68" s="230"/>
      <c r="BG68" s="230"/>
      <c r="BH68" s="230"/>
      <c r="BI68" s="230"/>
      <c r="BJ68" s="230"/>
      <c r="BK68" s="230"/>
      <c r="BL68" s="230"/>
      <c r="BM68" s="230"/>
      <c r="BN68" s="230"/>
      <c r="BO68" s="230"/>
      <c r="BP68" s="231">
        <v>1</v>
      </c>
      <c r="BQ68" s="231"/>
      <c r="BR68" s="231"/>
      <c r="BS68" s="231"/>
      <c r="BT68" s="231"/>
      <c r="BU68" s="231"/>
      <c r="BV68" s="231"/>
      <c r="BW68" s="231"/>
      <c r="BX68" s="231"/>
      <c r="BY68" s="231"/>
      <c r="BZ68" s="231"/>
      <c r="CA68" s="225">
        <v>2</v>
      </c>
      <c r="CB68" s="225"/>
      <c r="CC68" s="225"/>
      <c r="CD68" s="225"/>
      <c r="CE68" s="225"/>
      <c r="CF68" s="225"/>
      <c r="CG68" s="225"/>
      <c r="CH68" s="225"/>
      <c r="CI68" s="225"/>
    </row>
    <row r="69" spans="2:87" ht="15" customHeight="1" x14ac:dyDescent="0.3">
      <c r="B69" s="243" t="s">
        <v>121</v>
      </c>
      <c r="C69" s="242"/>
      <c r="D69" s="242"/>
      <c r="E69" s="242"/>
      <c r="F69" s="242"/>
      <c r="G69" s="242"/>
      <c r="H69" s="242"/>
      <c r="I69" s="242"/>
      <c r="J69" s="242"/>
      <c r="K69" s="242"/>
      <c r="L69" s="242"/>
      <c r="M69" s="242"/>
      <c r="N69" s="242"/>
      <c r="O69" s="242"/>
      <c r="P69" s="242"/>
      <c r="Q69" s="242"/>
      <c r="R69" s="242"/>
      <c r="S69" s="242"/>
      <c r="T69" s="242"/>
      <c r="U69" s="242"/>
      <c r="V69" s="242"/>
      <c r="W69" s="242"/>
      <c r="X69" s="242"/>
      <c r="Y69" s="242"/>
      <c r="Z69" s="242"/>
      <c r="AA69" s="242"/>
      <c r="AB69" s="242"/>
      <c r="AC69" s="242"/>
      <c r="AD69" s="242"/>
      <c r="AE69" s="242"/>
      <c r="AF69" s="242"/>
      <c r="AG69" s="242"/>
      <c r="AH69" s="242"/>
      <c r="AI69" s="242"/>
      <c r="AJ69" s="242"/>
      <c r="AK69" s="242"/>
      <c r="AL69" s="242"/>
      <c r="AM69" s="242"/>
      <c r="AN69" s="242"/>
      <c r="AO69" s="242"/>
      <c r="AP69" s="242"/>
      <c r="AQ69" s="242"/>
      <c r="AR69" s="242"/>
      <c r="AS69" s="242"/>
      <c r="AT69" s="242"/>
      <c r="AU69" s="242"/>
      <c r="AV69" s="242"/>
      <c r="AW69" s="242"/>
      <c r="AX69" s="242"/>
      <c r="AY69" s="242"/>
      <c r="AZ69" s="242"/>
      <c r="BA69" s="242"/>
      <c r="BB69" s="242"/>
      <c r="BC69" s="242"/>
      <c r="BD69" s="242"/>
      <c r="BE69" s="230" t="s">
        <v>122</v>
      </c>
      <c r="BF69" s="230"/>
      <c r="BG69" s="230"/>
      <c r="BH69" s="230"/>
      <c r="BI69" s="230"/>
      <c r="BJ69" s="230"/>
      <c r="BK69" s="230"/>
      <c r="BL69" s="230"/>
      <c r="BM69" s="230"/>
      <c r="BN69" s="230"/>
      <c r="BO69" s="230"/>
      <c r="BP69" s="231">
        <v>1</v>
      </c>
      <c r="BQ69" s="231"/>
      <c r="BR69" s="231"/>
      <c r="BS69" s="231"/>
      <c r="BT69" s="231"/>
      <c r="BU69" s="231"/>
      <c r="BV69" s="231"/>
      <c r="BW69" s="231"/>
      <c r="BX69" s="231"/>
      <c r="BY69" s="231"/>
      <c r="BZ69" s="231"/>
      <c r="CA69" s="225">
        <v>3</v>
      </c>
      <c r="CB69" s="225"/>
      <c r="CC69" s="225"/>
      <c r="CD69" s="225"/>
      <c r="CE69" s="225"/>
      <c r="CF69" s="225"/>
      <c r="CG69" s="225"/>
      <c r="CH69" s="225"/>
      <c r="CI69" s="225"/>
    </row>
    <row r="70" spans="2:87" ht="14.4" customHeight="1" x14ac:dyDescent="0.3">
      <c r="B70" s="243" t="s">
        <v>123</v>
      </c>
      <c r="C70" s="243"/>
      <c r="D70" s="243"/>
      <c r="E70" s="243"/>
      <c r="F70" s="243"/>
      <c r="G70" s="243"/>
      <c r="H70" s="243"/>
      <c r="I70" s="243"/>
      <c r="J70" s="243"/>
      <c r="K70" s="243"/>
      <c r="L70" s="243"/>
      <c r="M70" s="243"/>
      <c r="N70" s="243"/>
      <c r="O70" s="243"/>
      <c r="P70" s="243"/>
      <c r="Q70" s="243"/>
      <c r="R70" s="243"/>
      <c r="S70" s="243"/>
      <c r="T70" s="243"/>
      <c r="U70" s="243"/>
      <c r="V70" s="243"/>
      <c r="W70" s="243"/>
      <c r="X70" s="243"/>
      <c r="Y70" s="243"/>
      <c r="Z70" s="243"/>
      <c r="AA70" s="243"/>
      <c r="AB70" s="243"/>
      <c r="AC70" s="243"/>
      <c r="AD70" s="243"/>
      <c r="AE70" s="243"/>
      <c r="AF70" s="243"/>
      <c r="AG70" s="243"/>
      <c r="AH70" s="243"/>
      <c r="AI70" s="243"/>
      <c r="AJ70" s="243"/>
      <c r="AK70" s="243"/>
      <c r="AL70" s="243"/>
      <c r="AM70" s="243"/>
      <c r="AN70" s="243"/>
      <c r="AO70" s="243"/>
      <c r="AP70" s="243"/>
      <c r="AQ70" s="243"/>
      <c r="AR70" s="243"/>
      <c r="AS70" s="243"/>
      <c r="AT70" s="243"/>
      <c r="AU70" s="243"/>
      <c r="AV70" s="243"/>
      <c r="AW70" s="243"/>
      <c r="AX70" s="243"/>
      <c r="AY70" s="243"/>
      <c r="AZ70" s="243"/>
      <c r="BA70" s="243"/>
      <c r="BB70" s="243"/>
      <c r="BC70" s="243"/>
      <c r="BD70" s="243"/>
      <c r="BE70" s="230" t="s">
        <v>46</v>
      </c>
      <c r="BF70" s="230"/>
      <c r="BG70" s="230"/>
      <c r="BH70" s="230"/>
      <c r="BI70" s="230"/>
      <c r="BJ70" s="230"/>
      <c r="BK70" s="230"/>
      <c r="BL70" s="230"/>
      <c r="BM70" s="230"/>
      <c r="BN70" s="230"/>
      <c r="BO70" s="230"/>
      <c r="BP70" s="231">
        <v>1</v>
      </c>
      <c r="BQ70" s="231"/>
      <c r="BR70" s="231"/>
      <c r="BS70" s="231"/>
      <c r="BT70" s="231"/>
      <c r="BU70" s="231"/>
      <c r="BV70" s="231"/>
      <c r="BW70" s="231"/>
      <c r="BX70" s="231"/>
      <c r="BY70" s="231"/>
      <c r="BZ70" s="231"/>
      <c r="CA70" s="225">
        <v>2</v>
      </c>
      <c r="CB70" s="225"/>
      <c r="CC70" s="225"/>
      <c r="CD70" s="225"/>
      <c r="CE70" s="225"/>
      <c r="CF70" s="225"/>
      <c r="CG70" s="225"/>
      <c r="CH70" s="225"/>
      <c r="CI70" s="225"/>
    </row>
    <row r="71" spans="2:87" ht="14.4" customHeight="1" x14ac:dyDescent="0.3">
      <c r="B71" s="243" t="s">
        <v>124</v>
      </c>
      <c r="C71" s="242"/>
      <c r="D71" s="242"/>
      <c r="E71" s="242"/>
      <c r="F71" s="242"/>
      <c r="G71" s="242"/>
      <c r="H71" s="242"/>
      <c r="I71" s="242"/>
      <c r="J71" s="242"/>
      <c r="K71" s="242"/>
      <c r="L71" s="242"/>
      <c r="M71" s="242"/>
      <c r="N71" s="242"/>
      <c r="O71" s="242"/>
      <c r="P71" s="242"/>
      <c r="Q71" s="242"/>
      <c r="R71" s="242"/>
      <c r="S71" s="242"/>
      <c r="T71" s="242"/>
      <c r="U71" s="242"/>
      <c r="V71" s="242"/>
      <c r="W71" s="242"/>
      <c r="X71" s="242"/>
      <c r="Y71" s="242"/>
      <c r="Z71" s="242"/>
      <c r="AA71" s="242"/>
      <c r="AB71" s="242"/>
      <c r="AC71" s="242"/>
      <c r="AD71" s="242"/>
      <c r="AE71" s="242"/>
      <c r="AF71" s="242"/>
      <c r="AG71" s="242"/>
      <c r="AH71" s="242"/>
      <c r="AI71" s="242"/>
      <c r="AJ71" s="242"/>
      <c r="AK71" s="242"/>
      <c r="AL71" s="242"/>
      <c r="AM71" s="242"/>
      <c r="AN71" s="242"/>
      <c r="AO71" s="242"/>
      <c r="AP71" s="242"/>
      <c r="AQ71" s="242"/>
      <c r="AR71" s="242"/>
      <c r="AS71" s="242"/>
      <c r="AT71" s="242"/>
      <c r="AU71" s="242"/>
      <c r="AV71" s="242"/>
      <c r="AW71" s="242"/>
      <c r="AX71" s="242"/>
      <c r="AY71" s="242"/>
      <c r="AZ71" s="242"/>
      <c r="BA71" s="242"/>
      <c r="BB71" s="242"/>
      <c r="BC71" s="242"/>
      <c r="BD71" s="242"/>
      <c r="BE71" s="230" t="s">
        <v>46</v>
      </c>
      <c r="BF71" s="230"/>
      <c r="BG71" s="230"/>
      <c r="BH71" s="230"/>
      <c r="BI71" s="230"/>
      <c r="BJ71" s="230"/>
      <c r="BK71" s="230"/>
      <c r="BL71" s="230"/>
      <c r="BM71" s="230"/>
      <c r="BN71" s="230"/>
      <c r="BO71" s="230"/>
      <c r="BP71" s="231">
        <v>1</v>
      </c>
      <c r="BQ71" s="231"/>
      <c r="BR71" s="231"/>
      <c r="BS71" s="231"/>
      <c r="BT71" s="231"/>
      <c r="BU71" s="231"/>
      <c r="BV71" s="231"/>
      <c r="BW71" s="231"/>
      <c r="BX71" s="231"/>
      <c r="BY71" s="231"/>
      <c r="BZ71" s="231"/>
      <c r="CA71" s="232">
        <v>1</v>
      </c>
      <c r="CB71" s="232"/>
      <c r="CC71" s="232"/>
      <c r="CD71" s="232"/>
      <c r="CE71" s="232"/>
      <c r="CF71" s="232"/>
      <c r="CG71" s="232"/>
      <c r="CH71" s="232"/>
      <c r="CI71" s="232"/>
    </row>
    <row r="72" spans="2:87" ht="27" customHeight="1" x14ac:dyDescent="0.35">
      <c r="B72" s="233" t="s">
        <v>125</v>
      </c>
      <c r="C72" s="234"/>
      <c r="D72" s="234"/>
      <c r="E72" s="234"/>
      <c r="F72" s="234"/>
      <c r="G72" s="234"/>
      <c r="H72" s="234"/>
      <c r="I72" s="234"/>
      <c r="J72" s="234"/>
      <c r="K72" s="234"/>
      <c r="L72" s="234"/>
      <c r="M72" s="234"/>
      <c r="N72" s="234"/>
      <c r="O72" s="234"/>
      <c r="P72" s="234"/>
      <c r="Q72" s="234"/>
      <c r="R72" s="234"/>
      <c r="S72" s="234"/>
      <c r="T72" s="234"/>
      <c r="U72" s="234"/>
      <c r="V72" s="234"/>
      <c r="W72" s="234"/>
      <c r="X72" s="234"/>
      <c r="Y72" s="234"/>
      <c r="Z72" s="234"/>
      <c r="AA72" s="234"/>
      <c r="AB72" s="234"/>
      <c r="AC72" s="234"/>
      <c r="AD72" s="234"/>
      <c r="AE72" s="234"/>
      <c r="AF72" s="234"/>
      <c r="AG72" s="234"/>
      <c r="AH72" s="234"/>
      <c r="AI72" s="234"/>
      <c r="AJ72" s="234"/>
      <c r="AK72" s="234"/>
      <c r="AL72" s="234"/>
      <c r="AM72" s="234"/>
      <c r="AN72" s="234"/>
      <c r="AO72" s="234"/>
      <c r="AP72" s="234"/>
      <c r="AQ72" s="234"/>
      <c r="AR72" s="234"/>
      <c r="AS72" s="234"/>
      <c r="AT72" s="234"/>
      <c r="AU72" s="234"/>
      <c r="AV72" s="234"/>
      <c r="AW72" s="234"/>
      <c r="AX72" s="234"/>
      <c r="AY72" s="234"/>
      <c r="AZ72" s="234"/>
      <c r="BA72" s="234"/>
      <c r="BB72" s="234"/>
      <c r="BC72" s="234"/>
      <c r="BD72" s="234"/>
      <c r="BE72" s="235"/>
      <c r="BF72" s="235"/>
      <c r="BG72" s="235"/>
      <c r="BH72" s="235"/>
      <c r="BI72" s="235"/>
      <c r="BJ72" s="235"/>
      <c r="BK72" s="235"/>
      <c r="BL72" s="235"/>
      <c r="BM72" s="235"/>
      <c r="BN72" s="235"/>
      <c r="BO72" s="235"/>
      <c r="BP72" s="235" t="s">
        <v>59</v>
      </c>
      <c r="BQ72" s="235"/>
      <c r="BR72" s="235"/>
      <c r="BS72" s="235"/>
      <c r="BT72" s="235"/>
      <c r="BU72" s="235"/>
      <c r="BV72" s="235"/>
      <c r="BW72" s="235"/>
      <c r="BX72" s="235"/>
      <c r="BY72" s="235"/>
      <c r="BZ72" s="235"/>
      <c r="CA72" s="205">
        <v>10</v>
      </c>
      <c r="CB72" s="205"/>
      <c r="CC72" s="205"/>
      <c r="CD72" s="205"/>
      <c r="CE72" s="205"/>
      <c r="CF72" s="205"/>
      <c r="CG72" s="205"/>
      <c r="CH72" s="205"/>
      <c r="CI72" s="205"/>
    </row>
    <row r="73" spans="2:87" ht="17.399999999999999" x14ac:dyDescent="0.35"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236"/>
      <c r="CB73" s="236"/>
      <c r="CC73" s="236"/>
      <c r="CD73" s="236"/>
      <c r="CE73" s="236"/>
      <c r="CF73" s="236"/>
      <c r="CG73" s="236"/>
      <c r="CH73" s="236"/>
      <c r="CI73" s="236"/>
    </row>
    <row r="74" spans="2:87" ht="17.100000000000001" customHeight="1" x14ac:dyDescent="0.35">
      <c r="B74" s="237" t="s">
        <v>126</v>
      </c>
      <c r="C74" s="238"/>
      <c r="D74" s="238"/>
      <c r="E74" s="238"/>
      <c r="F74" s="238"/>
      <c r="G74" s="238"/>
      <c r="H74" s="238"/>
      <c r="I74" s="238"/>
      <c r="J74" s="238"/>
      <c r="K74" s="238"/>
      <c r="L74" s="238"/>
      <c r="M74" s="238"/>
      <c r="N74" s="238"/>
      <c r="O74" s="238"/>
      <c r="P74" s="238"/>
      <c r="Q74" s="238"/>
      <c r="R74" s="238"/>
      <c r="S74" s="238"/>
      <c r="T74" s="238"/>
      <c r="U74" s="238"/>
      <c r="V74" s="238"/>
      <c r="W74" s="238"/>
      <c r="X74" s="238"/>
      <c r="Y74" s="238"/>
      <c r="Z74" s="238"/>
      <c r="AA74" s="238"/>
      <c r="AB74" s="238"/>
      <c r="AC74" s="238"/>
      <c r="AD74" s="238"/>
      <c r="AE74" s="238"/>
      <c r="AF74" s="238"/>
      <c r="AG74" s="238"/>
      <c r="AH74" s="238"/>
      <c r="AI74" s="238"/>
      <c r="AJ74" s="238"/>
      <c r="AK74" s="238"/>
      <c r="AL74" s="238"/>
      <c r="AM74" s="238"/>
      <c r="AN74" s="238"/>
      <c r="AO74" s="238"/>
      <c r="AP74" s="238"/>
      <c r="AQ74" s="238"/>
      <c r="AR74" s="238"/>
      <c r="AS74" s="238"/>
      <c r="AT74" s="238"/>
      <c r="AU74" s="238"/>
      <c r="AV74" s="238"/>
      <c r="AW74" s="238"/>
      <c r="AX74" s="238"/>
      <c r="AY74" s="238"/>
      <c r="AZ74" s="238"/>
      <c r="BA74" s="238"/>
      <c r="BB74" s="238"/>
      <c r="BC74" s="238"/>
      <c r="BD74" s="238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239" t="s">
        <v>127</v>
      </c>
      <c r="CB74" s="239"/>
      <c r="CC74" s="239"/>
      <c r="CD74" s="239"/>
      <c r="CE74" s="239"/>
      <c r="CF74" s="239"/>
      <c r="CG74" s="239"/>
      <c r="CH74" s="239"/>
      <c r="CI74" s="239"/>
    </row>
    <row r="75" spans="2:87" ht="18.899999999999999" customHeight="1" x14ac:dyDescent="0.3">
      <c r="B75" s="240" t="s">
        <v>128</v>
      </c>
      <c r="C75" s="241"/>
      <c r="D75" s="241"/>
      <c r="E75" s="241"/>
      <c r="F75" s="241"/>
      <c r="G75" s="241"/>
      <c r="H75" s="241"/>
      <c r="I75" s="241"/>
      <c r="J75" s="241"/>
      <c r="K75" s="241"/>
      <c r="L75" s="241"/>
      <c r="M75" s="241"/>
      <c r="N75" s="241"/>
      <c r="O75" s="241"/>
      <c r="P75" s="241"/>
      <c r="Q75" s="241"/>
      <c r="R75" s="241"/>
      <c r="S75" s="241"/>
      <c r="T75" s="241"/>
      <c r="U75" s="241"/>
      <c r="V75" s="241"/>
      <c r="W75" s="241"/>
      <c r="X75" s="241"/>
      <c r="Y75" s="241"/>
      <c r="Z75" s="241"/>
      <c r="AA75" s="241"/>
      <c r="AB75" s="241"/>
      <c r="AC75" s="241"/>
      <c r="AD75" s="241"/>
      <c r="AE75" s="241"/>
      <c r="AF75" s="241"/>
      <c r="AG75" s="241"/>
      <c r="AH75" s="241"/>
      <c r="AI75" s="241"/>
      <c r="AJ75" s="241"/>
      <c r="AK75" s="241"/>
      <c r="AL75" s="241"/>
      <c r="AM75" s="241"/>
      <c r="AN75" s="241"/>
      <c r="AO75" s="241"/>
      <c r="AP75" s="241"/>
      <c r="AQ75" s="241"/>
      <c r="AR75" s="241"/>
      <c r="AS75" s="241"/>
      <c r="AT75" s="241"/>
      <c r="AU75" s="241"/>
      <c r="AV75" s="241"/>
      <c r="AW75" s="241"/>
      <c r="AX75" s="241"/>
      <c r="AY75" s="241"/>
      <c r="AZ75" s="241"/>
      <c r="BA75" s="241"/>
      <c r="BB75" s="241"/>
      <c r="BC75" s="241"/>
      <c r="BD75" s="17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241"/>
      <c r="CB75" s="241"/>
      <c r="CC75" s="241"/>
      <c r="CD75" s="241"/>
      <c r="CE75" s="241"/>
      <c r="CF75" s="241"/>
      <c r="CG75" s="241"/>
      <c r="CH75" s="241"/>
      <c r="CI75" s="241"/>
    </row>
    <row r="76" spans="2:87" ht="15" customHeight="1" x14ac:dyDescent="0.3">
      <c r="B76" s="226" t="s">
        <v>129</v>
      </c>
      <c r="C76" s="226"/>
      <c r="D76" s="226"/>
      <c r="E76" s="226"/>
      <c r="F76" s="226"/>
      <c r="G76" s="226"/>
      <c r="H76" s="226"/>
      <c r="I76" s="226"/>
      <c r="J76" s="226"/>
      <c r="K76" s="226"/>
      <c r="L76" s="226"/>
      <c r="M76" s="226"/>
      <c r="N76" s="226"/>
      <c r="O76" s="226"/>
      <c r="P76" s="226"/>
      <c r="Q76" s="226"/>
      <c r="R76" s="226"/>
      <c r="S76" s="226"/>
      <c r="T76" s="226"/>
      <c r="U76" s="226"/>
      <c r="V76" s="226"/>
      <c r="W76" s="226"/>
      <c r="X76" s="226"/>
      <c r="Y76" s="226"/>
      <c r="Z76" s="226"/>
      <c r="AA76" s="226"/>
      <c r="AB76" s="226"/>
      <c r="AC76" s="226"/>
      <c r="AD76" s="226"/>
      <c r="AE76" s="226"/>
      <c r="AF76" s="226"/>
      <c r="AG76" s="226"/>
      <c r="AH76" s="226"/>
      <c r="AI76" s="226"/>
      <c r="AJ76" s="226"/>
      <c r="AK76" s="226"/>
      <c r="AL76" s="226"/>
      <c r="AM76" s="226"/>
      <c r="AN76" s="226"/>
      <c r="AO76" s="226"/>
      <c r="AP76" s="226"/>
      <c r="AQ76" s="226"/>
      <c r="AR76" s="226"/>
      <c r="AS76" s="226"/>
      <c r="AT76" s="226"/>
      <c r="AU76" s="226"/>
      <c r="AV76" s="226"/>
      <c r="AW76" s="226"/>
      <c r="AX76" s="226"/>
      <c r="AY76" s="226"/>
      <c r="AZ76" s="226"/>
      <c r="BA76" s="226"/>
      <c r="BB76" s="226"/>
      <c r="BC76" s="226"/>
      <c r="BD76" s="226"/>
      <c r="BE76" s="227" t="s">
        <v>130</v>
      </c>
      <c r="BF76" s="227"/>
      <c r="BG76" s="227"/>
      <c r="BH76" s="227"/>
      <c r="BI76" s="227"/>
      <c r="BJ76" s="227"/>
      <c r="BK76" s="227"/>
      <c r="BL76" s="227"/>
      <c r="BM76" s="227"/>
      <c r="BN76" s="227"/>
      <c r="BO76" s="227"/>
      <c r="BP76" s="228">
        <v>5</v>
      </c>
      <c r="BQ76" s="228"/>
      <c r="BR76" s="228"/>
      <c r="BS76" s="228"/>
      <c r="BT76" s="228"/>
      <c r="BU76" s="228"/>
      <c r="BV76" s="228"/>
      <c r="BW76" s="228"/>
      <c r="BX76" s="228"/>
      <c r="BY76" s="228"/>
      <c r="BZ76" s="228"/>
      <c r="CA76" s="229">
        <v>10</v>
      </c>
      <c r="CB76" s="229"/>
      <c r="CC76" s="229"/>
      <c r="CD76" s="229"/>
      <c r="CE76" s="229"/>
      <c r="CF76" s="229"/>
      <c r="CG76" s="229"/>
      <c r="CH76" s="229"/>
      <c r="CI76" s="229"/>
    </row>
    <row r="77" spans="2:87" ht="15" customHeight="1" x14ac:dyDescent="0.3">
      <c r="B77" s="226" t="s">
        <v>131</v>
      </c>
      <c r="C77" s="226"/>
      <c r="D77" s="226"/>
      <c r="E77" s="226"/>
      <c r="F77" s="226"/>
      <c r="G77" s="226"/>
      <c r="H77" s="226"/>
      <c r="I77" s="226"/>
      <c r="J77" s="226"/>
      <c r="K77" s="226"/>
      <c r="L77" s="226"/>
      <c r="M77" s="226"/>
      <c r="N77" s="226"/>
      <c r="O77" s="226"/>
      <c r="P77" s="226"/>
      <c r="Q77" s="226"/>
      <c r="R77" s="226"/>
      <c r="S77" s="226"/>
      <c r="T77" s="226"/>
      <c r="U77" s="226"/>
      <c r="V77" s="226"/>
      <c r="W77" s="226"/>
      <c r="X77" s="226"/>
      <c r="Y77" s="226"/>
      <c r="Z77" s="226"/>
      <c r="AA77" s="226"/>
      <c r="AB77" s="226"/>
      <c r="AC77" s="226"/>
      <c r="AD77" s="226"/>
      <c r="AE77" s="226"/>
      <c r="AF77" s="226"/>
      <c r="AG77" s="226"/>
      <c r="AH77" s="226"/>
      <c r="AI77" s="226"/>
      <c r="AJ77" s="226"/>
      <c r="AK77" s="226"/>
      <c r="AL77" s="226"/>
      <c r="AM77" s="226"/>
      <c r="AN77" s="226"/>
      <c r="AO77" s="226"/>
      <c r="AP77" s="226"/>
      <c r="AQ77" s="226"/>
      <c r="AR77" s="226"/>
      <c r="AS77" s="226"/>
      <c r="AT77" s="226"/>
      <c r="AU77" s="226"/>
      <c r="AV77" s="226"/>
      <c r="AW77" s="226"/>
      <c r="AX77" s="226"/>
      <c r="AY77" s="226"/>
      <c r="AZ77" s="226"/>
      <c r="BA77" s="226"/>
      <c r="BB77" s="226"/>
      <c r="BC77" s="226"/>
      <c r="BD77" s="226"/>
      <c r="BE77" s="227" t="s">
        <v>49</v>
      </c>
      <c r="BF77" s="227"/>
      <c r="BG77" s="227"/>
      <c r="BH77" s="227"/>
      <c r="BI77" s="227"/>
      <c r="BJ77" s="227"/>
      <c r="BK77" s="227"/>
      <c r="BL77" s="227"/>
      <c r="BM77" s="227"/>
      <c r="BN77" s="227"/>
      <c r="BO77" s="227"/>
      <c r="BP77" s="228">
        <v>0</v>
      </c>
      <c r="BQ77" s="228"/>
      <c r="BR77" s="228"/>
      <c r="BS77" s="228"/>
      <c r="BT77" s="228"/>
      <c r="BU77" s="228"/>
      <c r="BV77" s="228"/>
      <c r="BW77" s="228"/>
      <c r="BX77" s="228"/>
      <c r="BY77" s="228"/>
      <c r="BZ77" s="228"/>
      <c r="CA77" s="229">
        <v>0</v>
      </c>
      <c r="CB77" s="229"/>
      <c r="CC77" s="229"/>
      <c r="CD77" s="229"/>
      <c r="CE77" s="229"/>
      <c r="CF77" s="229"/>
      <c r="CG77" s="229"/>
      <c r="CH77" s="229"/>
      <c r="CI77" s="229"/>
    </row>
    <row r="78" spans="2:87" ht="15" customHeight="1" x14ac:dyDescent="0.3">
      <c r="B78" s="226" t="s">
        <v>132</v>
      </c>
      <c r="C78" s="226"/>
      <c r="D78" s="226"/>
      <c r="E78" s="226"/>
      <c r="F78" s="226"/>
      <c r="G78" s="226"/>
      <c r="H78" s="226"/>
      <c r="I78" s="226"/>
      <c r="J78" s="226"/>
      <c r="K78" s="226"/>
      <c r="L78" s="226"/>
      <c r="M78" s="226"/>
      <c r="N78" s="226"/>
      <c r="O78" s="226"/>
      <c r="P78" s="226"/>
      <c r="Q78" s="226"/>
      <c r="R78" s="226"/>
      <c r="S78" s="226"/>
      <c r="T78" s="226"/>
      <c r="U78" s="226"/>
      <c r="V78" s="226"/>
      <c r="W78" s="226"/>
      <c r="X78" s="226"/>
      <c r="Y78" s="226"/>
      <c r="Z78" s="226"/>
      <c r="AA78" s="226"/>
      <c r="AB78" s="226"/>
      <c r="AC78" s="226"/>
      <c r="AD78" s="226"/>
      <c r="AE78" s="226"/>
      <c r="AF78" s="226"/>
      <c r="AG78" s="226"/>
      <c r="AH78" s="226"/>
      <c r="AI78" s="226"/>
      <c r="AJ78" s="226"/>
      <c r="AK78" s="226"/>
      <c r="AL78" s="226"/>
      <c r="AM78" s="226"/>
      <c r="AN78" s="226"/>
      <c r="AO78" s="226"/>
      <c r="AP78" s="226"/>
      <c r="AQ78" s="226"/>
      <c r="AR78" s="226"/>
      <c r="AS78" s="226"/>
      <c r="AT78" s="226"/>
      <c r="AU78" s="226"/>
      <c r="AV78" s="226"/>
      <c r="AW78" s="226"/>
      <c r="AX78" s="226"/>
      <c r="AY78" s="226"/>
      <c r="AZ78" s="226"/>
      <c r="BA78" s="226"/>
      <c r="BB78" s="226"/>
      <c r="BC78" s="226"/>
      <c r="BD78" s="226"/>
      <c r="BE78" s="227" t="s">
        <v>133</v>
      </c>
      <c r="BF78" s="227"/>
      <c r="BG78" s="227"/>
      <c r="BH78" s="227"/>
      <c r="BI78" s="227"/>
      <c r="BJ78" s="227"/>
      <c r="BK78" s="227"/>
      <c r="BL78" s="227"/>
      <c r="BM78" s="227"/>
      <c r="BN78" s="227"/>
      <c r="BO78" s="227"/>
      <c r="BP78" s="228">
        <v>1</v>
      </c>
      <c r="BQ78" s="228"/>
      <c r="BR78" s="228"/>
      <c r="BS78" s="228"/>
      <c r="BT78" s="228"/>
      <c r="BU78" s="228"/>
      <c r="BV78" s="228"/>
      <c r="BW78" s="228"/>
      <c r="BX78" s="228"/>
      <c r="BY78" s="228"/>
      <c r="BZ78" s="228"/>
      <c r="CA78" s="229">
        <v>6</v>
      </c>
      <c r="CB78" s="229"/>
      <c r="CC78" s="229"/>
      <c r="CD78" s="229"/>
      <c r="CE78" s="229"/>
      <c r="CF78" s="229"/>
      <c r="CG78" s="229"/>
      <c r="CH78" s="229"/>
      <c r="CI78" s="229"/>
    </row>
    <row r="79" spans="2:87" ht="15" customHeight="1" x14ac:dyDescent="0.3">
      <c r="B79" s="226" t="s">
        <v>134</v>
      </c>
      <c r="C79" s="226"/>
      <c r="D79" s="226"/>
      <c r="E79" s="226"/>
      <c r="F79" s="226"/>
      <c r="G79" s="226"/>
      <c r="H79" s="226"/>
      <c r="I79" s="226"/>
      <c r="J79" s="226"/>
      <c r="K79" s="226"/>
      <c r="L79" s="226"/>
      <c r="M79" s="226"/>
      <c r="N79" s="226"/>
      <c r="O79" s="226"/>
      <c r="P79" s="226"/>
      <c r="Q79" s="226"/>
      <c r="R79" s="226"/>
      <c r="S79" s="226"/>
      <c r="T79" s="226"/>
      <c r="U79" s="226"/>
      <c r="V79" s="226"/>
      <c r="W79" s="226"/>
      <c r="X79" s="226"/>
      <c r="Y79" s="226"/>
      <c r="Z79" s="226"/>
      <c r="AA79" s="226"/>
      <c r="AB79" s="226"/>
      <c r="AC79" s="226"/>
      <c r="AD79" s="226"/>
      <c r="AE79" s="226"/>
      <c r="AF79" s="226"/>
      <c r="AG79" s="226"/>
      <c r="AH79" s="226"/>
      <c r="AI79" s="226"/>
      <c r="AJ79" s="226"/>
      <c r="AK79" s="226"/>
      <c r="AL79" s="226"/>
      <c r="AM79" s="226"/>
      <c r="AN79" s="226"/>
      <c r="AO79" s="226"/>
      <c r="AP79" s="226"/>
      <c r="AQ79" s="226"/>
      <c r="AR79" s="226"/>
      <c r="AS79" s="226"/>
      <c r="AT79" s="226"/>
      <c r="AU79" s="226"/>
      <c r="AV79" s="226"/>
      <c r="AW79" s="226"/>
      <c r="AX79" s="226"/>
      <c r="AY79" s="226"/>
      <c r="AZ79" s="226"/>
      <c r="BA79" s="226"/>
      <c r="BB79" s="226"/>
      <c r="BC79" s="226"/>
      <c r="BD79" s="226"/>
      <c r="BE79" s="227" t="s">
        <v>135</v>
      </c>
      <c r="BF79" s="227"/>
      <c r="BG79" s="227"/>
      <c r="BH79" s="227"/>
      <c r="BI79" s="227"/>
      <c r="BJ79" s="227"/>
      <c r="BK79" s="227"/>
      <c r="BL79" s="227"/>
      <c r="BM79" s="227"/>
      <c r="BN79" s="227"/>
      <c r="BO79" s="227"/>
      <c r="BP79" s="228">
        <v>0</v>
      </c>
      <c r="BQ79" s="228"/>
      <c r="BR79" s="228"/>
      <c r="BS79" s="228"/>
      <c r="BT79" s="228"/>
      <c r="BU79" s="228"/>
      <c r="BV79" s="228"/>
      <c r="BW79" s="228"/>
      <c r="BX79" s="228"/>
      <c r="BY79" s="228"/>
      <c r="BZ79" s="228"/>
      <c r="CA79" s="229">
        <v>0</v>
      </c>
      <c r="CB79" s="229"/>
      <c r="CC79" s="229"/>
      <c r="CD79" s="229"/>
      <c r="CE79" s="229"/>
      <c r="CF79" s="229"/>
      <c r="CG79" s="229"/>
      <c r="CH79" s="229"/>
      <c r="CI79" s="229"/>
    </row>
    <row r="80" spans="2:87" ht="15" customHeight="1" x14ac:dyDescent="0.3">
      <c r="B80" s="226" t="s">
        <v>136</v>
      </c>
      <c r="C80" s="226"/>
      <c r="D80" s="226"/>
      <c r="E80" s="226"/>
      <c r="F80" s="226"/>
      <c r="G80" s="226"/>
      <c r="H80" s="226"/>
      <c r="I80" s="226"/>
      <c r="J80" s="226"/>
      <c r="K80" s="226"/>
      <c r="L80" s="226"/>
      <c r="M80" s="226"/>
      <c r="N80" s="226"/>
      <c r="O80" s="226"/>
      <c r="P80" s="226"/>
      <c r="Q80" s="226"/>
      <c r="R80" s="226"/>
      <c r="S80" s="226"/>
      <c r="T80" s="226"/>
      <c r="U80" s="226"/>
      <c r="V80" s="226"/>
      <c r="W80" s="226"/>
      <c r="X80" s="226"/>
      <c r="Y80" s="226"/>
      <c r="Z80" s="226"/>
      <c r="AA80" s="226"/>
      <c r="AB80" s="226"/>
      <c r="AC80" s="226"/>
      <c r="AD80" s="226"/>
      <c r="AE80" s="226"/>
      <c r="AF80" s="226"/>
      <c r="AG80" s="226"/>
      <c r="AH80" s="226"/>
      <c r="AI80" s="226"/>
      <c r="AJ80" s="226"/>
      <c r="AK80" s="226"/>
      <c r="AL80" s="226"/>
      <c r="AM80" s="226"/>
      <c r="AN80" s="226"/>
      <c r="AO80" s="226"/>
      <c r="AP80" s="226"/>
      <c r="AQ80" s="226"/>
      <c r="AR80" s="226"/>
      <c r="AS80" s="226"/>
      <c r="AT80" s="226"/>
      <c r="AU80" s="226"/>
      <c r="AV80" s="226"/>
      <c r="AW80" s="226"/>
      <c r="AX80" s="226"/>
      <c r="AY80" s="226"/>
      <c r="AZ80" s="226"/>
      <c r="BA80" s="226"/>
      <c r="BB80" s="226"/>
      <c r="BC80" s="226"/>
      <c r="BD80" s="226"/>
      <c r="BE80" s="227" t="s">
        <v>137</v>
      </c>
      <c r="BF80" s="227"/>
      <c r="BG80" s="227"/>
      <c r="BH80" s="227"/>
      <c r="BI80" s="227"/>
      <c r="BJ80" s="227"/>
      <c r="BK80" s="227"/>
      <c r="BL80" s="227"/>
      <c r="BM80" s="227"/>
      <c r="BN80" s="227"/>
      <c r="BO80" s="227"/>
      <c r="BP80" s="228">
        <v>1</v>
      </c>
      <c r="BQ80" s="228"/>
      <c r="BR80" s="228"/>
      <c r="BS80" s="228"/>
      <c r="BT80" s="228"/>
      <c r="BU80" s="228"/>
      <c r="BV80" s="228"/>
      <c r="BW80" s="228"/>
      <c r="BX80" s="228"/>
      <c r="BY80" s="228"/>
      <c r="BZ80" s="228"/>
      <c r="CA80" s="229">
        <v>4</v>
      </c>
      <c r="CB80" s="229"/>
      <c r="CC80" s="229"/>
      <c r="CD80" s="229"/>
      <c r="CE80" s="229"/>
      <c r="CF80" s="229"/>
      <c r="CG80" s="229"/>
      <c r="CH80" s="229"/>
      <c r="CI80" s="229"/>
    </row>
    <row r="81" spans="2:87" ht="15" customHeight="1" x14ac:dyDescent="0.3">
      <c r="B81" s="226" t="s">
        <v>138</v>
      </c>
      <c r="C81" s="226"/>
      <c r="D81" s="226"/>
      <c r="E81" s="226"/>
      <c r="F81" s="226"/>
      <c r="G81" s="226"/>
      <c r="H81" s="226"/>
      <c r="I81" s="226"/>
      <c r="J81" s="226"/>
      <c r="K81" s="226"/>
      <c r="L81" s="226"/>
      <c r="M81" s="226"/>
      <c r="N81" s="226"/>
      <c r="O81" s="226"/>
      <c r="P81" s="226"/>
      <c r="Q81" s="226"/>
      <c r="R81" s="226"/>
      <c r="S81" s="226"/>
      <c r="T81" s="226"/>
      <c r="U81" s="226"/>
      <c r="V81" s="226"/>
      <c r="W81" s="226"/>
      <c r="X81" s="226"/>
      <c r="Y81" s="226"/>
      <c r="Z81" s="226"/>
      <c r="AA81" s="226"/>
      <c r="AB81" s="226"/>
      <c r="AC81" s="226"/>
      <c r="AD81" s="226"/>
      <c r="AE81" s="226"/>
      <c r="AF81" s="226"/>
      <c r="AG81" s="226"/>
      <c r="AH81" s="226"/>
      <c r="AI81" s="226"/>
      <c r="AJ81" s="226"/>
      <c r="AK81" s="226"/>
      <c r="AL81" s="226"/>
      <c r="AM81" s="226"/>
      <c r="AN81" s="226"/>
      <c r="AO81" s="226"/>
      <c r="AP81" s="226"/>
      <c r="AQ81" s="226"/>
      <c r="AR81" s="226"/>
      <c r="AS81" s="226"/>
      <c r="AT81" s="226"/>
      <c r="AU81" s="226"/>
      <c r="AV81" s="226"/>
      <c r="AW81" s="226"/>
      <c r="AX81" s="226"/>
      <c r="AY81" s="226"/>
      <c r="AZ81" s="226"/>
      <c r="BA81" s="226"/>
      <c r="BB81" s="226"/>
      <c r="BC81" s="226"/>
      <c r="BD81" s="226"/>
      <c r="BE81" s="227" t="s">
        <v>139</v>
      </c>
      <c r="BF81" s="227"/>
      <c r="BG81" s="227"/>
      <c r="BH81" s="227"/>
      <c r="BI81" s="227"/>
      <c r="BJ81" s="227"/>
      <c r="BK81" s="227"/>
      <c r="BL81" s="227"/>
      <c r="BM81" s="227"/>
      <c r="BN81" s="227"/>
      <c r="BO81" s="227"/>
      <c r="BP81" s="228">
        <v>1</v>
      </c>
      <c r="BQ81" s="228"/>
      <c r="BR81" s="228"/>
      <c r="BS81" s="228"/>
      <c r="BT81" s="228"/>
      <c r="BU81" s="228"/>
      <c r="BV81" s="228"/>
      <c r="BW81" s="228"/>
      <c r="BX81" s="228"/>
      <c r="BY81" s="228"/>
      <c r="BZ81" s="228"/>
      <c r="CA81" s="229">
        <v>3</v>
      </c>
      <c r="CB81" s="229"/>
      <c r="CC81" s="229"/>
      <c r="CD81" s="229"/>
      <c r="CE81" s="229"/>
      <c r="CF81" s="229"/>
      <c r="CG81" s="229"/>
      <c r="CH81" s="229"/>
      <c r="CI81" s="229"/>
    </row>
    <row r="82" spans="2:87" ht="15" customHeight="1" x14ac:dyDescent="0.3">
      <c r="B82" s="226" t="s">
        <v>140</v>
      </c>
      <c r="C82" s="226"/>
      <c r="D82" s="226"/>
      <c r="E82" s="226"/>
      <c r="F82" s="226"/>
      <c r="G82" s="226"/>
      <c r="H82" s="226"/>
      <c r="I82" s="226"/>
      <c r="J82" s="226"/>
      <c r="K82" s="226"/>
      <c r="L82" s="226"/>
      <c r="M82" s="226"/>
      <c r="N82" s="226"/>
      <c r="O82" s="226"/>
      <c r="P82" s="226"/>
      <c r="Q82" s="226"/>
      <c r="R82" s="226"/>
      <c r="S82" s="226"/>
      <c r="T82" s="226"/>
      <c r="U82" s="226"/>
      <c r="V82" s="226"/>
      <c r="W82" s="226"/>
      <c r="X82" s="226"/>
      <c r="Y82" s="226"/>
      <c r="Z82" s="226"/>
      <c r="AA82" s="226"/>
      <c r="AB82" s="226"/>
      <c r="AC82" s="226"/>
      <c r="AD82" s="226"/>
      <c r="AE82" s="226"/>
      <c r="AF82" s="226"/>
      <c r="AG82" s="226"/>
      <c r="AH82" s="226"/>
      <c r="AI82" s="226"/>
      <c r="AJ82" s="226"/>
      <c r="AK82" s="226"/>
      <c r="AL82" s="226"/>
      <c r="AM82" s="226"/>
      <c r="AN82" s="226"/>
      <c r="AO82" s="226"/>
      <c r="AP82" s="226"/>
      <c r="AQ82" s="226"/>
      <c r="AR82" s="226"/>
      <c r="AS82" s="226"/>
      <c r="AT82" s="226"/>
      <c r="AU82" s="226"/>
      <c r="AV82" s="226"/>
      <c r="AW82" s="226"/>
      <c r="AX82" s="226"/>
      <c r="AY82" s="226"/>
      <c r="AZ82" s="226"/>
      <c r="BA82" s="226"/>
      <c r="BB82" s="226"/>
      <c r="BC82" s="226"/>
      <c r="BD82" s="226"/>
      <c r="BE82" s="228"/>
      <c r="BF82" s="228"/>
      <c r="BG82" s="228"/>
      <c r="BH82" s="228"/>
      <c r="BI82" s="228"/>
      <c r="BJ82" s="228"/>
      <c r="BK82" s="228"/>
      <c r="BL82" s="228"/>
      <c r="BM82" s="228"/>
      <c r="BN82" s="228"/>
      <c r="BO82" s="228"/>
      <c r="BP82" s="228" t="s">
        <v>59</v>
      </c>
      <c r="BQ82" s="228"/>
      <c r="BR82" s="228"/>
      <c r="BS82" s="228"/>
      <c r="BT82" s="228"/>
      <c r="BU82" s="228"/>
      <c r="BV82" s="228"/>
      <c r="BW82" s="228"/>
      <c r="BX82" s="228"/>
      <c r="BY82" s="228"/>
      <c r="BZ82" s="228"/>
      <c r="CA82" s="255">
        <v>10</v>
      </c>
      <c r="CB82" s="255"/>
      <c r="CC82" s="255"/>
      <c r="CD82" s="255"/>
      <c r="CE82" s="255"/>
      <c r="CF82" s="255"/>
      <c r="CG82" s="255"/>
      <c r="CH82" s="255"/>
      <c r="CI82" s="255"/>
    </row>
    <row r="83" spans="2:87" ht="15" customHeight="1" x14ac:dyDescent="0.35">
      <c r="B83" s="245" t="s">
        <v>141</v>
      </c>
      <c r="C83" s="246"/>
      <c r="D83" s="246"/>
      <c r="E83" s="246"/>
      <c r="F83" s="246"/>
      <c r="G83" s="246"/>
      <c r="H83" s="246"/>
      <c r="I83" s="246"/>
      <c r="J83" s="246"/>
      <c r="K83" s="246"/>
      <c r="L83" s="246"/>
      <c r="M83" s="246"/>
      <c r="N83" s="246"/>
      <c r="O83" s="246"/>
      <c r="P83" s="246"/>
      <c r="Q83" s="246"/>
      <c r="R83" s="246"/>
      <c r="S83" s="246"/>
      <c r="T83" s="246"/>
      <c r="U83" s="246"/>
      <c r="V83" s="246"/>
      <c r="W83" s="246"/>
      <c r="X83" s="246"/>
      <c r="Y83" s="246"/>
      <c r="Z83" s="246"/>
      <c r="AA83" s="246"/>
      <c r="AB83" s="246"/>
      <c r="AC83" s="246"/>
      <c r="AD83" s="246"/>
      <c r="AE83" s="246"/>
      <c r="AF83" s="246"/>
      <c r="AG83" s="246"/>
      <c r="AH83" s="246"/>
      <c r="AI83" s="246"/>
      <c r="AJ83" s="246"/>
      <c r="AK83" s="246"/>
      <c r="AL83" s="246"/>
      <c r="AM83" s="246"/>
      <c r="AN83" s="246"/>
      <c r="AO83" s="246"/>
      <c r="AP83" s="246"/>
      <c r="AQ83" s="246"/>
      <c r="AR83" s="246"/>
      <c r="AS83" s="246"/>
      <c r="AT83" s="246"/>
      <c r="AU83" s="246"/>
      <c r="AV83" s="246"/>
      <c r="AW83" s="246"/>
      <c r="AX83" s="246"/>
      <c r="AY83" s="246"/>
      <c r="AZ83" s="246"/>
      <c r="BA83" s="246"/>
      <c r="BB83" s="246"/>
      <c r="BC83" s="246"/>
      <c r="BD83" s="246"/>
      <c r="BE83" s="247"/>
      <c r="BF83" s="247"/>
      <c r="BG83" s="247"/>
      <c r="BH83" s="247"/>
      <c r="BI83" s="247"/>
      <c r="BJ83" s="247"/>
      <c r="BK83" s="247"/>
      <c r="BL83" s="247"/>
      <c r="BM83" s="247"/>
      <c r="BN83" s="247"/>
      <c r="BO83" s="247"/>
      <c r="BP83" s="247" t="s">
        <v>59</v>
      </c>
      <c r="BQ83" s="247"/>
      <c r="BR83" s="247"/>
      <c r="BS83" s="247"/>
      <c r="BT83" s="247"/>
      <c r="BU83" s="247"/>
      <c r="BV83" s="247"/>
      <c r="BW83" s="247"/>
      <c r="BX83" s="247"/>
      <c r="BY83" s="247"/>
      <c r="BZ83" s="247"/>
      <c r="CA83" s="239">
        <v>33</v>
      </c>
      <c r="CB83" s="239"/>
      <c r="CC83" s="239"/>
      <c r="CD83" s="239"/>
      <c r="CE83" s="239"/>
      <c r="CF83" s="239"/>
      <c r="CG83" s="239"/>
      <c r="CH83" s="239"/>
      <c r="CI83" s="239"/>
    </row>
    <row r="84" spans="2:87" ht="17.399999999999999" x14ac:dyDescent="0.35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</row>
    <row r="85" spans="2:87" ht="17.399999999999999" x14ac:dyDescent="0.35"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</row>
    <row r="86" spans="2:87" ht="18" x14ac:dyDescent="0.35">
      <c r="B86" s="256"/>
      <c r="C86" s="257"/>
      <c r="D86" s="257"/>
      <c r="E86" s="257"/>
      <c r="F86" s="257"/>
      <c r="G86" s="257"/>
      <c r="H86" s="257"/>
      <c r="I86" s="257"/>
      <c r="J86" s="257"/>
      <c r="K86" s="257"/>
      <c r="L86" s="257"/>
      <c r="M86" s="257"/>
      <c r="N86" s="257"/>
      <c r="O86" s="257"/>
      <c r="P86" s="257"/>
      <c r="Q86" s="257"/>
      <c r="R86" s="257"/>
      <c r="S86" s="257"/>
      <c r="T86" s="257"/>
      <c r="U86" s="257"/>
      <c r="V86" s="257"/>
      <c r="W86" s="257"/>
      <c r="X86" s="257"/>
      <c r="Y86" s="257"/>
      <c r="Z86" s="257"/>
      <c r="AA86" s="257"/>
      <c r="AB86" s="257"/>
      <c r="AC86" s="257"/>
      <c r="AD86" s="257"/>
      <c r="AE86" s="257"/>
      <c r="AF86" s="257"/>
      <c r="AG86" s="257"/>
      <c r="AH86" s="257"/>
      <c r="AI86" s="257"/>
      <c r="AJ86" s="257"/>
      <c r="AK86" s="257"/>
      <c r="AL86" s="257"/>
      <c r="AM86" s="257"/>
      <c r="AN86" s="257"/>
      <c r="AO86" s="257"/>
      <c r="AP86" s="257"/>
      <c r="AQ86" s="257"/>
      <c r="AR86" s="257"/>
      <c r="AS86" s="257"/>
      <c r="AT86" s="257"/>
      <c r="AU86" s="257"/>
      <c r="AV86" s="257"/>
      <c r="AW86" s="257"/>
      <c r="AX86" s="257"/>
      <c r="AY86" s="257"/>
      <c r="AZ86" s="257"/>
      <c r="BA86" s="257"/>
      <c r="BB86" s="257"/>
      <c r="BC86" s="257"/>
      <c r="BD86" s="257"/>
      <c r="BE86" s="244"/>
      <c r="BF86" s="244"/>
      <c r="BG86" s="244"/>
      <c r="BH86" s="244"/>
      <c r="BI86" s="244"/>
      <c r="BJ86" s="244"/>
      <c r="BK86" s="244"/>
      <c r="BL86" s="244"/>
      <c r="BM86" s="244"/>
      <c r="BN86" s="244"/>
      <c r="BO86" s="244"/>
      <c r="BP86" s="244"/>
      <c r="BQ86" s="244"/>
      <c r="BR86" s="244"/>
      <c r="BS86" s="244"/>
      <c r="BT86" s="244"/>
      <c r="BU86" s="244"/>
      <c r="BV86" s="244"/>
      <c r="BW86" s="244"/>
      <c r="BX86" s="244"/>
      <c r="BY86" s="244"/>
      <c r="BZ86" s="244"/>
      <c r="CA86" s="244"/>
      <c r="CB86" s="244"/>
      <c r="CC86" s="244"/>
      <c r="CD86" s="244"/>
      <c r="CE86" s="244"/>
      <c r="CF86" s="244"/>
      <c r="CG86" s="244"/>
      <c r="CH86" s="244"/>
      <c r="CI86" s="244"/>
    </row>
    <row r="87" spans="2:87" x14ac:dyDescent="0.3">
      <c r="B87" s="251"/>
      <c r="C87" s="252"/>
      <c r="D87" s="252"/>
      <c r="E87" s="252"/>
      <c r="F87" s="252"/>
      <c r="G87" s="252"/>
      <c r="H87" s="252"/>
      <c r="I87" s="252"/>
      <c r="J87" s="252"/>
      <c r="K87" s="252"/>
      <c r="L87" s="252"/>
      <c r="M87" s="252"/>
      <c r="N87" s="252"/>
      <c r="O87" s="252"/>
      <c r="P87" s="252"/>
      <c r="Q87" s="252"/>
      <c r="R87" s="252"/>
      <c r="S87" s="252"/>
      <c r="T87" s="252"/>
      <c r="U87" s="252"/>
      <c r="V87" s="252"/>
      <c r="W87" s="252"/>
      <c r="X87" s="252"/>
      <c r="Y87" s="252"/>
      <c r="Z87" s="252"/>
      <c r="AA87" s="252"/>
      <c r="AB87" s="252"/>
      <c r="AC87" s="252"/>
      <c r="AD87" s="252"/>
      <c r="AE87" s="252"/>
      <c r="AF87" s="252"/>
      <c r="AG87" s="252"/>
      <c r="AH87" s="252"/>
      <c r="AI87" s="252"/>
      <c r="AJ87" s="252"/>
      <c r="AK87" s="252"/>
      <c r="AL87" s="252"/>
      <c r="AM87" s="252"/>
      <c r="AN87" s="252"/>
      <c r="AO87" s="252"/>
      <c r="AP87" s="252"/>
      <c r="AQ87" s="252"/>
      <c r="AR87" s="252"/>
      <c r="AS87" s="252"/>
      <c r="AT87" s="252"/>
      <c r="AU87" s="252"/>
      <c r="AV87" s="252"/>
      <c r="AW87" s="252"/>
      <c r="AX87" s="252"/>
      <c r="AY87" s="252"/>
      <c r="AZ87" s="252"/>
      <c r="BA87" s="252"/>
      <c r="BB87" s="252"/>
      <c r="BC87" s="252"/>
      <c r="BD87" s="25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53"/>
      <c r="CB87" s="253"/>
      <c r="CC87" s="253"/>
      <c r="CD87" s="253"/>
      <c r="CE87" s="253"/>
      <c r="CF87" s="253"/>
      <c r="CG87" s="253"/>
      <c r="CH87" s="253"/>
      <c r="CI87" s="253"/>
    </row>
    <row r="88" spans="2:87" x14ac:dyDescent="0.3">
      <c r="B88" s="254"/>
      <c r="C88" s="254"/>
      <c r="D88" s="254"/>
      <c r="E88" s="254"/>
      <c r="F88" s="254"/>
      <c r="G88" s="254"/>
      <c r="H88" s="254"/>
      <c r="I88" s="254"/>
      <c r="J88" s="254"/>
      <c r="K88" s="254"/>
      <c r="L88" s="254"/>
      <c r="M88" s="254"/>
      <c r="N88" s="254"/>
      <c r="O88" s="254"/>
      <c r="P88" s="254"/>
      <c r="Q88" s="254"/>
      <c r="R88" s="254"/>
      <c r="S88" s="254"/>
      <c r="T88" s="254"/>
      <c r="U88" s="254"/>
      <c r="V88" s="254"/>
      <c r="W88" s="254"/>
      <c r="X88" s="254"/>
      <c r="Y88" s="254"/>
      <c r="Z88" s="254"/>
      <c r="AA88" s="254"/>
      <c r="AB88" s="254"/>
      <c r="AC88" s="254"/>
      <c r="AD88" s="254"/>
      <c r="AE88" s="254"/>
      <c r="AF88" s="254"/>
      <c r="AG88" s="254"/>
      <c r="AH88" s="254"/>
      <c r="AI88" s="254"/>
      <c r="AJ88" s="254"/>
      <c r="AK88" s="254"/>
      <c r="AL88" s="254"/>
      <c r="AM88" s="254"/>
      <c r="AN88" s="254"/>
      <c r="AO88" s="254"/>
      <c r="AP88" s="254"/>
      <c r="AQ88" s="254"/>
      <c r="AR88" s="254"/>
      <c r="AS88" s="254"/>
      <c r="AT88" s="254"/>
      <c r="AU88" s="254"/>
      <c r="AV88" s="254"/>
      <c r="AW88" s="254"/>
      <c r="AX88" s="254"/>
      <c r="AY88" s="254"/>
      <c r="AZ88" s="254"/>
      <c r="BA88" s="254"/>
      <c r="BB88" s="254"/>
      <c r="BC88" s="254"/>
      <c r="BD88" s="254"/>
      <c r="BE88" s="249"/>
      <c r="BF88" s="249"/>
      <c r="BG88" s="249"/>
      <c r="BH88" s="249"/>
      <c r="BI88" s="249"/>
      <c r="BJ88" s="249"/>
      <c r="BK88" s="249"/>
      <c r="BL88" s="249"/>
      <c r="BM88" s="249"/>
      <c r="BN88" s="249"/>
      <c r="BO88" s="249"/>
      <c r="BP88" s="249"/>
      <c r="BQ88" s="249"/>
      <c r="BR88" s="249"/>
      <c r="BS88" s="249"/>
      <c r="BT88" s="249"/>
      <c r="BU88" s="249"/>
      <c r="BV88" s="249"/>
      <c r="BW88" s="249"/>
      <c r="BX88" s="249"/>
      <c r="BY88" s="249"/>
      <c r="BZ88" s="249"/>
      <c r="CA88" s="250"/>
      <c r="CB88" s="250"/>
      <c r="CC88" s="250"/>
      <c r="CD88" s="250"/>
      <c r="CE88" s="250"/>
      <c r="CF88" s="250"/>
      <c r="CG88" s="250"/>
      <c r="CH88" s="250"/>
      <c r="CI88" s="250"/>
    </row>
    <row r="89" spans="2:87" x14ac:dyDescent="0.3">
      <c r="B89" s="248"/>
      <c r="C89" s="248"/>
      <c r="D89" s="248"/>
      <c r="E89" s="248"/>
      <c r="F89" s="248"/>
      <c r="G89" s="248"/>
      <c r="H89" s="248"/>
      <c r="I89" s="248"/>
      <c r="J89" s="248"/>
      <c r="K89" s="248"/>
      <c r="L89" s="248"/>
      <c r="M89" s="248"/>
      <c r="N89" s="248"/>
      <c r="O89" s="248"/>
      <c r="P89" s="248"/>
      <c r="Q89" s="248"/>
      <c r="R89" s="248"/>
      <c r="S89" s="248"/>
      <c r="T89" s="248"/>
      <c r="U89" s="248"/>
      <c r="V89" s="248"/>
      <c r="W89" s="248"/>
      <c r="X89" s="248"/>
      <c r="Y89" s="248"/>
      <c r="Z89" s="248"/>
      <c r="AA89" s="248"/>
      <c r="AB89" s="248"/>
      <c r="AC89" s="248"/>
      <c r="AD89" s="248"/>
      <c r="AE89" s="248"/>
      <c r="AF89" s="248"/>
      <c r="AG89" s="248"/>
      <c r="AH89" s="248"/>
      <c r="AI89" s="248"/>
      <c r="AJ89" s="248"/>
      <c r="AK89" s="248"/>
      <c r="AL89" s="248"/>
      <c r="AM89" s="248"/>
      <c r="AN89" s="248"/>
      <c r="AO89" s="248"/>
      <c r="AP89" s="248"/>
      <c r="AQ89" s="248"/>
      <c r="AR89" s="248"/>
      <c r="AS89" s="248"/>
      <c r="AT89" s="248"/>
      <c r="AU89" s="248"/>
      <c r="AV89" s="248"/>
      <c r="AW89" s="248"/>
      <c r="AX89" s="248"/>
      <c r="AY89" s="248"/>
      <c r="AZ89" s="248"/>
      <c r="BA89" s="248"/>
      <c r="BB89" s="248"/>
      <c r="BC89" s="248"/>
      <c r="BD89" s="248"/>
      <c r="BE89" s="249"/>
      <c r="BF89" s="249"/>
      <c r="BG89" s="249"/>
      <c r="BH89" s="249"/>
      <c r="BI89" s="249"/>
      <c r="BJ89" s="249"/>
      <c r="BK89" s="249"/>
      <c r="BL89" s="249"/>
      <c r="BM89" s="249"/>
      <c r="BN89" s="249"/>
      <c r="BO89" s="249"/>
      <c r="BP89" s="249"/>
      <c r="BQ89" s="249"/>
      <c r="BR89" s="249"/>
      <c r="BS89" s="249"/>
      <c r="BT89" s="249"/>
      <c r="BU89" s="249"/>
      <c r="BV89" s="249"/>
      <c r="BW89" s="249"/>
      <c r="BX89" s="249"/>
      <c r="BY89" s="249"/>
      <c r="BZ89" s="249"/>
      <c r="CA89" s="250"/>
      <c r="CB89" s="250"/>
      <c r="CC89" s="250"/>
      <c r="CD89" s="250"/>
      <c r="CE89" s="250"/>
      <c r="CF89" s="250"/>
      <c r="CG89" s="250"/>
      <c r="CH89" s="250"/>
      <c r="CI89" s="250"/>
    </row>
  </sheetData>
  <sheetProtection selectLockedCells="1"/>
  <dataConsolidate link="1"/>
  <mergeCells count="202">
    <mergeCell ref="B67:BD67"/>
    <mergeCell ref="BE67:BO67"/>
    <mergeCell ref="BP67:BZ67"/>
    <mergeCell ref="CA67:CI67"/>
    <mergeCell ref="CA57:DG62"/>
    <mergeCell ref="BE57:BO62"/>
    <mergeCell ref="B57:BD62"/>
    <mergeCell ref="E45:X45"/>
    <mergeCell ref="C46:D46"/>
    <mergeCell ref="E46:X46"/>
    <mergeCell ref="CB46:EY46"/>
    <mergeCell ref="Y43:BY54"/>
    <mergeCell ref="CB43:CQ43"/>
    <mergeCell ref="CR43:DK43"/>
    <mergeCell ref="DL43:EE43"/>
    <mergeCell ref="EF43:EY43"/>
    <mergeCell ref="C47:D47"/>
    <mergeCell ref="CW53:DG54"/>
    <mergeCell ref="DH57:EY62"/>
    <mergeCell ref="DS53:EY54"/>
    <mergeCell ref="B56:BD56"/>
    <mergeCell ref="BE56:BO56"/>
    <mergeCell ref="BP56:BZ56"/>
    <mergeCell ref="CA56:DG56"/>
    <mergeCell ref="BP81:BZ81"/>
    <mergeCell ref="CA75:CI75"/>
    <mergeCell ref="B89:BD89"/>
    <mergeCell ref="BE89:BO89"/>
    <mergeCell ref="BP89:BZ89"/>
    <mergeCell ref="CA89:CI89"/>
    <mergeCell ref="B87:BD87"/>
    <mergeCell ref="CA87:CI87"/>
    <mergeCell ref="B88:BD88"/>
    <mergeCell ref="BE88:BO88"/>
    <mergeCell ref="BP88:BZ88"/>
    <mergeCell ref="CA88:CI88"/>
    <mergeCell ref="CA81:CI81"/>
    <mergeCell ref="B82:BD82"/>
    <mergeCell ref="BE82:BO82"/>
    <mergeCell ref="BP82:BZ82"/>
    <mergeCell ref="CA82:CI82"/>
    <mergeCell ref="B76:BD76"/>
    <mergeCell ref="BE76:BO76"/>
    <mergeCell ref="BP76:BZ76"/>
    <mergeCell ref="CA76:CI76"/>
    <mergeCell ref="CA78:CI78"/>
    <mergeCell ref="B86:BD86"/>
    <mergeCell ref="BE86:BO86"/>
    <mergeCell ref="BP86:BZ86"/>
    <mergeCell ref="CA86:CI86"/>
    <mergeCell ref="BE68:BO68"/>
    <mergeCell ref="B83:BD83"/>
    <mergeCell ref="BE83:BO83"/>
    <mergeCell ref="BP83:BZ83"/>
    <mergeCell ref="CA83:CI83"/>
    <mergeCell ref="B79:BD79"/>
    <mergeCell ref="BE79:BO79"/>
    <mergeCell ref="BP79:BZ79"/>
    <mergeCell ref="CA79:CI79"/>
    <mergeCell ref="B80:BD80"/>
    <mergeCell ref="BE80:BO80"/>
    <mergeCell ref="BP80:BZ80"/>
    <mergeCell ref="CA80:CI80"/>
    <mergeCell ref="B81:BD81"/>
    <mergeCell ref="BE81:BO81"/>
    <mergeCell ref="B78:BD78"/>
    <mergeCell ref="BE78:BO78"/>
    <mergeCell ref="BP78:BZ78"/>
    <mergeCell ref="CA68:CI68"/>
    <mergeCell ref="B71:BD71"/>
    <mergeCell ref="B69:BD69"/>
    <mergeCell ref="BE69:BO69"/>
    <mergeCell ref="CA70:CI70"/>
    <mergeCell ref="B77:BD77"/>
    <mergeCell ref="BE77:BO77"/>
    <mergeCell ref="BP77:BZ77"/>
    <mergeCell ref="CA77:CI77"/>
    <mergeCell ref="BE71:BO71"/>
    <mergeCell ref="BP68:BZ68"/>
    <mergeCell ref="BP71:BZ71"/>
    <mergeCell ref="CA71:CI71"/>
    <mergeCell ref="B72:BD72"/>
    <mergeCell ref="BE72:BO72"/>
    <mergeCell ref="BP72:BZ72"/>
    <mergeCell ref="CA72:CI72"/>
    <mergeCell ref="CA73:CI73"/>
    <mergeCell ref="B74:BD74"/>
    <mergeCell ref="CA74:CI74"/>
    <mergeCell ref="B75:BC75"/>
    <mergeCell ref="B68:BD68"/>
    <mergeCell ref="BP69:BZ69"/>
    <mergeCell ref="CA69:CI69"/>
    <mergeCell ref="B70:BD70"/>
    <mergeCell ref="BE70:BO70"/>
    <mergeCell ref="BP70:BZ70"/>
    <mergeCell ref="E30:AO30"/>
    <mergeCell ref="AP30:AQ30"/>
    <mergeCell ref="AR30:BZ30"/>
    <mergeCell ref="C51:D51"/>
    <mergeCell ref="C53:D53"/>
    <mergeCell ref="E53:X53"/>
    <mergeCell ref="DS52:EY52"/>
    <mergeCell ref="CB44:CQ44"/>
    <mergeCell ref="CR44:DK44"/>
    <mergeCell ref="DL44:EE44"/>
    <mergeCell ref="EF44:EY44"/>
    <mergeCell ref="C45:D45"/>
    <mergeCell ref="EG35:EY35"/>
    <mergeCell ref="B37:BY37"/>
    <mergeCell ref="CB37:CZ37"/>
    <mergeCell ref="DA37:DM37"/>
    <mergeCell ref="DN37:EF37"/>
    <mergeCell ref="EG37:EY37"/>
    <mergeCell ref="CB52:CV52"/>
    <mergeCell ref="CW52:DG52"/>
    <mergeCell ref="DH52:DR52"/>
    <mergeCell ref="C48:D48"/>
    <mergeCell ref="C50:D50"/>
    <mergeCell ref="DH53:DR54"/>
    <mergeCell ref="DH56:EY56"/>
    <mergeCell ref="E31:AO31"/>
    <mergeCell ref="AP31:AQ31"/>
    <mergeCell ref="AR31:BZ31"/>
    <mergeCell ref="B35:BO35"/>
    <mergeCell ref="BP35:BY35"/>
    <mergeCell ref="B66:BD66"/>
    <mergeCell ref="CA66:CI66"/>
    <mergeCell ref="B65:BD65"/>
    <mergeCell ref="BE65:BO65"/>
    <mergeCell ref="BP65:BZ65"/>
    <mergeCell ref="CA65:CI65"/>
    <mergeCell ref="C31:D31"/>
    <mergeCell ref="BP57:BZ62"/>
    <mergeCell ref="CB53:CV54"/>
    <mergeCell ref="CB35:EF35"/>
    <mergeCell ref="E47:X47"/>
    <mergeCell ref="CB47:EY50"/>
    <mergeCell ref="C49:D49"/>
    <mergeCell ref="E49:X49"/>
    <mergeCell ref="C44:D44"/>
    <mergeCell ref="E44:X44"/>
    <mergeCell ref="E48:X48"/>
    <mergeCell ref="C52:D52"/>
    <mergeCell ref="E52:X52"/>
    <mergeCell ref="C32:D32"/>
    <mergeCell ref="E32:AO32"/>
    <mergeCell ref="AP32:AQ32"/>
    <mergeCell ref="AR32:BZ32"/>
    <mergeCell ref="EG38:EY40"/>
    <mergeCell ref="B42:X42"/>
    <mergeCell ref="Y42:BY42"/>
    <mergeCell ref="CB42:CQ42"/>
    <mergeCell ref="CR42:DK42"/>
    <mergeCell ref="DL42:EE42"/>
    <mergeCell ref="EF42:EY42"/>
    <mergeCell ref="DA38:DM40"/>
    <mergeCell ref="DN38:EF40"/>
    <mergeCell ref="B38:BY40"/>
    <mergeCell ref="CB38:CZ40"/>
    <mergeCell ref="EA21:EY21"/>
    <mergeCell ref="B22:DZ22"/>
    <mergeCell ref="EA22:EY22"/>
    <mergeCell ref="B24:BZ24"/>
    <mergeCell ref="CA24:EY24"/>
    <mergeCell ref="CA25:EY33"/>
    <mergeCell ref="C30:D30"/>
    <mergeCell ref="AP27:AQ27"/>
    <mergeCell ref="AR27:BZ27"/>
    <mergeCell ref="C28:D28"/>
    <mergeCell ref="E28:AO28"/>
    <mergeCell ref="AP28:AQ28"/>
    <mergeCell ref="AR28:BZ28"/>
    <mergeCell ref="C29:D29"/>
    <mergeCell ref="C27:D27"/>
    <mergeCell ref="E27:AO27"/>
    <mergeCell ref="B21:DZ21"/>
    <mergeCell ref="E26:AO26"/>
    <mergeCell ref="AP26:AQ26"/>
    <mergeCell ref="AR26:BZ26"/>
    <mergeCell ref="C26:D26"/>
    <mergeCell ref="E29:AO29"/>
    <mergeCell ref="AP29:AQ29"/>
    <mergeCell ref="AR29:BZ29"/>
    <mergeCell ref="B2:EY3"/>
    <mergeCell ref="B5:BA5"/>
    <mergeCell ref="BB5:DI5"/>
    <mergeCell ref="DJ5:DZ5"/>
    <mergeCell ref="EA5:EY5"/>
    <mergeCell ref="B6:BA11"/>
    <mergeCell ref="EA14:EY19"/>
    <mergeCell ref="EA6:EY11"/>
    <mergeCell ref="DJ6:DZ11"/>
    <mergeCell ref="BB6:DI11"/>
    <mergeCell ref="Q4:Y4"/>
    <mergeCell ref="Z4:AK4"/>
    <mergeCell ref="AL4:AT4"/>
    <mergeCell ref="B13:BZ13"/>
    <mergeCell ref="CA13:DZ13"/>
    <mergeCell ref="EA13:EY13"/>
    <mergeCell ref="AU4:BC4"/>
    <mergeCell ref="B14:BZ19"/>
    <mergeCell ref="CA14:DZ19"/>
  </mergeCells>
  <dataValidations count="11">
    <dataValidation type="list" allowBlank="1" showInputMessage="1" showErrorMessage="1" sqref="BE67:BO67" xr:uid="{A85B781E-B141-4634-9B59-E47131E8153F}">
      <formula1>"Mais de 1, Apenas 1, Nenhum"</formula1>
    </dataValidation>
    <dataValidation type="list" allowBlank="1" showInputMessage="1" showErrorMessage="1" sqref="EA5:EY5" xr:uid="{5605D676-323A-46C3-8379-0764095CFC89}">
      <formula1>"FATURAMENTO, EBIT, EBITDA, OBOLESÊNCIA, ABSENTEÍSMO, TURNOVER, PRAZO DE ENTREGA, SATISFAÇÃO DO CLIENTE, EXPEDIÇÃO"</formula1>
    </dataValidation>
    <dataValidation type="list" allowBlank="1" showInputMessage="1" showErrorMessage="1" sqref="DJ6:DZ11" xr:uid="{BA027C03-CA0C-433D-9604-6517DE698C79}">
      <formula1>"REGULATÓRIO, ESTRATÉGICO , MELHORIA OPERACIONAL"</formula1>
    </dataValidation>
    <dataValidation type="list" allowBlank="1" showInputMessage="1" showErrorMessage="1" sqref="BE82:BO82" xr:uid="{0F9A409E-3318-4DFB-A3FC-BC6BFBB4E8B6}">
      <formula1>"Mais de 1, Apenas 1 , Nenhum"</formula1>
    </dataValidation>
    <dataValidation type="list" allowBlank="1" showInputMessage="1" showErrorMessage="1" sqref="BE68:BO68 BE70:BO71 BE77:BO77" xr:uid="{FBEA3384-43BC-48F0-9F67-289883D9CC53}">
      <formula1>"Sim, Não"</formula1>
    </dataValidation>
    <dataValidation type="list" allowBlank="1" showInputMessage="1" showErrorMessage="1" sqref="BE69:BO69" xr:uid="{377D6BEC-8146-4F01-B6A6-24F87CF40009}">
      <formula1>"Até 50h, Entre 51h e 100h, Acima de 100h"</formula1>
    </dataValidation>
    <dataValidation type="list" allowBlank="1" showInputMessage="1" showErrorMessage="1" sqref="BE76:BO76" xr:uid="{6C76FF9D-5A0F-4943-9154-4DC58864EC1E}">
      <formula1>"Regulatório, Institucional, Melhoria Operacional"</formula1>
    </dataValidation>
    <dataValidation type="list" allowBlank="1" showInputMessage="1" showErrorMessage="1" sqref="BE78:BO78" xr:uid="{B2B00182-33B6-49CE-9DA4-A1E2CB451C13}">
      <formula1>"Alto, Médio , Baixo"</formula1>
    </dataValidation>
    <dataValidation type="list" allowBlank="1" showInputMessage="1" showErrorMessage="1" sqref="BE79:BO79" xr:uid="{FFA0112B-3EF9-4B4B-967A-B359DD8988DE}">
      <formula1>"Alinhamento Direto, Alinhamento Indireto, Não alinhado"</formula1>
    </dataValidation>
    <dataValidation type="list" allowBlank="1" showInputMessage="1" showErrorMessage="1" sqref="BE80:BO80" xr:uid="{7AE14351-2ED4-4E88-9E0A-74316D8553CB}">
      <formula1>"TIR até 20%, TIR acima 20%"</formula1>
    </dataValidation>
    <dataValidation type="list" allowBlank="1" showInputMessage="1" showErrorMessage="1" sqref="BE81:BO81" xr:uid="{6D46447D-7112-4874-9E7D-BD72B015BE11}">
      <formula1>"Muito Urgente, Urgente, Baixa Urgência"</formula1>
    </dataValidation>
  </dataValidations>
  <pageMargins left="0.511811024" right="0.511811024" top="0.78740157499999996" bottom="0.78740157499999996" header="0.31496062000000002" footer="0.31496062000000002"/>
  <pageSetup orientation="portrait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2F9C9-9941-4859-8E09-3B3D9C12CB52}">
  <sheetPr codeName="Planilha6"/>
  <dimension ref="A1:AU2"/>
  <sheetViews>
    <sheetView zoomScale="70" zoomScaleNormal="70" workbookViewId="0">
      <selection activeCell="I3" sqref="I3"/>
    </sheetView>
  </sheetViews>
  <sheetFormatPr defaultColWidth="26.5546875" defaultRowHeight="14.4" x14ac:dyDescent="0.3"/>
  <sheetData>
    <row r="1" spans="1:47" ht="41.4" x14ac:dyDescent="0.3">
      <c r="A1" s="7" t="s">
        <v>0</v>
      </c>
      <c r="B1" s="7" t="s">
        <v>1</v>
      </c>
      <c r="C1" s="8" t="s">
        <v>2</v>
      </c>
      <c r="D1" s="9" t="s">
        <v>3</v>
      </c>
      <c r="E1" s="9" t="s">
        <v>4</v>
      </c>
      <c r="F1" s="7" t="s">
        <v>5</v>
      </c>
      <c r="G1" s="9" t="s">
        <v>6</v>
      </c>
      <c r="H1" s="9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7" t="s">
        <v>17</v>
      </c>
      <c r="S1" s="19" t="s">
        <v>18</v>
      </c>
      <c r="T1" s="7" t="s">
        <v>19</v>
      </c>
      <c r="U1" s="7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7" t="s">
        <v>1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7" t="s">
        <v>36</v>
      </c>
      <c r="AM1" s="7" t="s">
        <v>37</v>
      </c>
      <c r="AN1" s="7" t="s">
        <v>38</v>
      </c>
      <c r="AO1" s="7" t="s">
        <v>39</v>
      </c>
      <c r="AP1" s="7" t="s">
        <v>40</v>
      </c>
      <c r="AQ1" s="9" t="s">
        <v>41</v>
      </c>
      <c r="AR1" s="7" t="s">
        <v>42</v>
      </c>
      <c r="AS1" s="7" t="s">
        <v>43</v>
      </c>
      <c r="AT1" s="7" t="s">
        <v>44</v>
      </c>
      <c r="AU1" s="7" t="s">
        <v>45</v>
      </c>
    </row>
    <row r="2" spans="1:47" ht="41.4" x14ac:dyDescent="0.3">
      <c r="A2" s="12"/>
      <c r="B2" s="12" t="str">
        <f>_xlfn.CONCAT("GLPI-",Ficha!Z4)</f>
        <v>GLPI-0</v>
      </c>
      <c r="C2" s="20" t="s">
        <v>48</v>
      </c>
      <c r="D2" s="24">
        <f ca="1">TODAY()</f>
        <v>45812</v>
      </c>
      <c r="E2" s="11" t="s">
        <v>142</v>
      </c>
      <c r="F2" s="67" t="s">
        <v>144</v>
      </c>
      <c r="G2" s="10"/>
      <c r="H2" s="10" t="str">
        <f>Ficha!B38</f>
        <v>Gabriel Cosac - Logística</v>
      </c>
      <c r="I2" s="4" t="s">
        <v>145</v>
      </c>
      <c r="J2" s="3">
        <f>Ficha!B6</f>
        <v>0</v>
      </c>
      <c r="K2" s="3">
        <f>Ficha!B14</f>
        <v>0</v>
      </c>
      <c r="L2" s="4">
        <f>Ficha!CB47</f>
        <v>0</v>
      </c>
      <c r="M2" s="21">
        <f t="shared" ref="M2" si="0">SUM(N2:Q2)</f>
        <v>0</v>
      </c>
      <c r="N2" s="21"/>
      <c r="O2" s="21"/>
      <c r="P2" s="21"/>
      <c r="Q2" s="21"/>
      <c r="R2" s="3"/>
      <c r="S2" s="6"/>
      <c r="T2" s="3"/>
      <c r="U2" s="12">
        <f>Ficha!CA83</f>
        <v>33</v>
      </c>
      <c r="V2" s="22"/>
      <c r="W2" s="22"/>
      <c r="X2" s="22"/>
      <c r="Y2" s="22"/>
      <c r="Z2" s="12" t="str">
        <f>_xlfn.CONCAT("GLPI-",Ficha!Z4)</f>
        <v>GLPI-0</v>
      </c>
      <c r="AA2" s="12"/>
      <c r="AB2" s="12"/>
      <c r="AC2" s="4"/>
      <c r="AD2" s="4"/>
      <c r="AE2" s="4" t="str">
        <f>Ficha!BB6</f>
        <v>Garantir crescimento rentável e sustentável maximizando o valor para os acionistas.</v>
      </c>
      <c r="AF2" s="4"/>
      <c r="AG2" s="4"/>
      <c r="AH2" s="4" t="str">
        <f>Ficha!EA14</f>
        <v>BAIXO</v>
      </c>
      <c r="AI2" s="4" t="str">
        <f>Ficha!EA6</f>
        <v>SATISFAÇÃO DO CLIENTE</v>
      </c>
      <c r="AJ2" s="4" t="str">
        <f>Ficha!B22</f>
        <v>Melhore a orientação dos serviços para o cliente.</v>
      </c>
      <c r="AK2" s="5">
        <f>Ficha!EA22</f>
        <v>8</v>
      </c>
      <c r="AL2" s="4"/>
      <c r="AM2" s="4"/>
      <c r="AN2" s="4"/>
      <c r="AO2" s="4"/>
      <c r="AP2" s="4"/>
      <c r="AQ2" s="23"/>
      <c r="AR2" s="4"/>
      <c r="AS2" s="4"/>
      <c r="AT2" s="4"/>
      <c r="AU2" s="6"/>
    </row>
  </sheetData>
  <dataValidations count="2">
    <dataValidation showInputMessage="1" showErrorMessage="1" sqref="D1:D2" xr:uid="{580A2FCD-4AFF-4A2F-ADA5-4B577FF7E03B}"/>
    <dataValidation type="list" allowBlank="1" showInputMessage="1" showErrorMessage="1" sqref="E2 V2:Y2" xr:uid="{40C52D5F-100D-44A2-B069-D6EB34F78DEE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Ficha</vt:lpstr>
      <vt:lpstr>Importar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Miguel Ness</dc:creator>
  <cp:keywords/>
  <dc:description/>
  <cp:lastModifiedBy>Miguel Jorge El Ness</cp:lastModifiedBy>
  <cp:revision/>
  <dcterms:created xsi:type="dcterms:W3CDTF">2021-09-05T14:29:45Z</dcterms:created>
  <dcterms:modified xsi:type="dcterms:W3CDTF">2025-06-04T14:58:23Z</dcterms:modified>
  <cp:category/>
  <cp:contentStatus/>
</cp:coreProperties>
</file>